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Data" sheetId="1" state="visible" r:id="rId3"/>
    <sheet name="KPI Dashboard" sheetId="2" state="visible" r:id="rId4"/>
  </sheets>
  <definedNames>
    <definedName function="false" hidden="true" localSheetId="0" name="_xlnm._FilterDatabase" vbProcedure="false">'Campaign Data'!$A$1:$Q$201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<sst xmlns="http://schemas.openxmlformats.org/spreadsheetml/2006/main" count="1256" uniqueCount="503">
  <si>
    <t xml:space="preserve">Campaign_ID</t>
  </si>
  <si>
    <t xml:space="preserve">Campaign_Name</t>
  </si>
  <si>
    <t xml:space="preserve">Channel</t>
  </si>
  <si>
    <t xml:space="preserve">Start_Date</t>
  </si>
  <si>
    <t xml:space="preserve">End_Date</t>
  </si>
  <si>
    <t xml:space="preserve">Region</t>
  </si>
  <si>
    <t xml:space="preserve">Impressions</t>
  </si>
  <si>
    <t xml:space="preserve">Clicks</t>
  </si>
  <si>
    <t xml:space="preserve">Conversions</t>
  </si>
  <si>
    <t xml:space="preserve">Spend_INR</t>
  </si>
  <si>
    <t xml:space="preserve">Revenue_INR</t>
  </si>
  <si>
    <t xml:space="preserve">Leads_Generated</t>
  </si>
  <si>
    <t xml:space="preserve">CTR_Pct</t>
  </si>
  <si>
    <t xml:space="preserve">Conversion_Rate_Pct</t>
  </si>
  <si>
    <t xml:space="preserve">ROI_Pct</t>
  </si>
  <si>
    <t xml:space="preserve">CPL_INR</t>
  </si>
  <si>
    <t xml:space="preserve">Cost_Per_Conversion_INR</t>
  </si>
  <si>
    <t xml:space="preserve">C301</t>
  </si>
  <si>
    <t xml:space="preserve">FB Lookalike Audience</t>
  </si>
  <si>
    <t xml:space="preserve">Facebook</t>
  </si>
  <si>
    <t xml:space="preserve">2024-03-15</t>
  </si>
  <si>
    <t xml:space="preserve">2024-03-28</t>
  </si>
  <si>
    <t xml:space="preserve">Central</t>
  </si>
  <si>
    <t xml:space="preserve">C302</t>
  </si>
  <si>
    <t xml:space="preserve">Micro-Influencer Pack</t>
  </si>
  <si>
    <t xml:space="preserve">Influencer</t>
  </si>
  <si>
    <t xml:space="preserve">2024-06-20</t>
  </si>
  <si>
    <t xml:space="preserve">2024-07-01</t>
  </si>
  <si>
    <t xml:space="preserve">North</t>
  </si>
  <si>
    <t xml:space="preserve">C303</t>
  </si>
  <si>
    <t xml:space="preserve">Google Remarketing</t>
  </si>
  <si>
    <t xml:space="preserve">Google Ads</t>
  </si>
  <si>
    <t xml:space="preserve">2024-05-31</t>
  </si>
  <si>
    <t xml:space="preserve">2024-06-26</t>
  </si>
  <si>
    <t xml:space="preserve">South</t>
  </si>
  <si>
    <t xml:space="preserve">C304</t>
  </si>
  <si>
    <t xml:space="preserve">FB Brand Awareness</t>
  </si>
  <si>
    <t xml:space="preserve">2024-08-24</t>
  </si>
  <si>
    <t xml:space="preserve">2024-09-08</t>
  </si>
  <si>
    <t xml:space="preserve">C305</t>
  </si>
  <si>
    <t xml:space="preserve">2024-10-20</t>
  </si>
  <si>
    <t xml:space="preserve">2024-10-27</t>
  </si>
  <si>
    <t xml:space="preserve">West</t>
  </si>
  <si>
    <t xml:space="preserve">C306</t>
  </si>
  <si>
    <t xml:space="preserve">Google Search Q1</t>
  </si>
  <si>
    <t xml:space="preserve">2024-12-22</t>
  </si>
  <si>
    <t xml:space="preserve">2025-01-01</t>
  </si>
  <si>
    <t xml:space="preserve">C307</t>
  </si>
  <si>
    <t xml:space="preserve">2024-06-14</t>
  </si>
  <si>
    <t xml:space="preserve">C308</t>
  </si>
  <si>
    <t xml:space="preserve">Google Shopping Ads</t>
  </si>
  <si>
    <t xml:space="preserve">2024-08-20</t>
  </si>
  <si>
    <t xml:space="preserve">2024-09-10</t>
  </si>
  <si>
    <t xml:space="preserve">C309</t>
  </si>
  <si>
    <t xml:space="preserve">2024-12-19</t>
  </si>
  <si>
    <t xml:space="preserve">2025-01-05</t>
  </si>
  <si>
    <t xml:space="preserve">C310</t>
  </si>
  <si>
    <t xml:space="preserve">2024-12-16</t>
  </si>
  <si>
    <t xml:space="preserve">2024-12-25</t>
  </si>
  <si>
    <t xml:space="preserve">C311</t>
  </si>
  <si>
    <t xml:space="preserve">Email Newsletter June</t>
  </si>
  <si>
    <t xml:space="preserve">Email</t>
  </si>
  <si>
    <t xml:space="preserve">2024-11-12</t>
  </si>
  <si>
    <t xml:space="preserve">2024-11-20</t>
  </si>
  <si>
    <t xml:space="preserve">East</t>
  </si>
  <si>
    <t xml:space="preserve">C312</t>
  </si>
  <si>
    <t xml:space="preserve">Welcome Series</t>
  </si>
  <si>
    <t xml:space="preserve">2024-05-02</t>
  </si>
  <si>
    <t xml:space="preserve">2024-05-26</t>
  </si>
  <si>
    <t xml:space="preserve">C313</t>
  </si>
  <si>
    <t xml:space="preserve">2024-07-09</t>
  </si>
  <si>
    <t xml:space="preserve">2024-07-27</t>
  </si>
  <si>
    <t xml:space="preserve">C314</t>
  </si>
  <si>
    <t xml:space="preserve">Mega Influencer Collab</t>
  </si>
  <si>
    <t xml:space="preserve">2024-12-10</t>
  </si>
  <si>
    <t xml:space="preserve">2025-01-08</t>
  </si>
  <si>
    <t xml:space="preserve">C315</t>
  </si>
  <si>
    <t xml:space="preserve">2024-05-21</t>
  </si>
  <si>
    <t xml:space="preserve">C316</t>
  </si>
  <si>
    <t xml:space="preserve">2024-03-08</t>
  </si>
  <si>
    <t xml:space="preserve">2024-03-30</t>
  </si>
  <si>
    <t xml:space="preserve">C317</t>
  </si>
  <si>
    <t xml:space="preserve">Instagram Reel Drive</t>
  </si>
  <si>
    <t xml:space="preserve">2024-09-23</t>
  </si>
  <si>
    <t xml:space="preserve">C318</t>
  </si>
  <si>
    <t xml:space="preserve">YouTube Partnership</t>
  </si>
  <si>
    <t xml:space="preserve">2024-08-15</t>
  </si>
  <si>
    <t xml:space="preserve">2024-09-05</t>
  </si>
  <si>
    <t xml:space="preserve">C319</t>
  </si>
  <si>
    <t xml:space="preserve">FB Retargeting</t>
  </si>
  <si>
    <t xml:space="preserve">2024-03-16</t>
  </si>
  <si>
    <t xml:space="preserve">2024-04-03</t>
  </si>
  <si>
    <t xml:space="preserve">C320</t>
  </si>
  <si>
    <t xml:space="preserve">2024-12-20</t>
  </si>
  <si>
    <t xml:space="preserve">2025-01-17</t>
  </si>
  <si>
    <t xml:space="preserve">C321</t>
  </si>
  <si>
    <t xml:space="preserve">2024-10-14</t>
  </si>
  <si>
    <t xml:space="preserve">C322</t>
  </si>
  <si>
    <t xml:space="preserve">Abandoned Cart Email</t>
  </si>
  <si>
    <t xml:space="preserve">2024-07-26</t>
  </si>
  <si>
    <t xml:space="preserve">2024-08-17</t>
  </si>
  <si>
    <t xml:space="preserve">C323</t>
  </si>
  <si>
    <t xml:space="preserve">2024-08-30</t>
  </si>
  <si>
    <t xml:space="preserve">2024-09-15</t>
  </si>
  <si>
    <t xml:space="preserve">C324</t>
  </si>
  <si>
    <t xml:space="preserve">2024-06-06</t>
  </si>
  <si>
    <t xml:space="preserve">2024-06-13</t>
  </si>
  <si>
    <t xml:space="preserve">C325</t>
  </si>
  <si>
    <t xml:space="preserve">2024-05-22</t>
  </si>
  <si>
    <t xml:space="preserve">2024-06-04</t>
  </si>
  <si>
    <t xml:space="preserve">C326</t>
  </si>
  <si>
    <t xml:space="preserve">2024-11-05</t>
  </si>
  <si>
    <t xml:space="preserve">2024-11-28</t>
  </si>
  <si>
    <t xml:space="preserve">C327</t>
  </si>
  <si>
    <t xml:space="preserve">Reactivation Campaign</t>
  </si>
  <si>
    <t xml:space="preserve">2024-06-27</t>
  </si>
  <si>
    <t xml:space="preserve">C328</t>
  </si>
  <si>
    <t xml:space="preserve">Google Display Boost</t>
  </si>
  <si>
    <t xml:space="preserve">2024-08-05</t>
  </si>
  <si>
    <t xml:space="preserve">2024-09-04</t>
  </si>
  <si>
    <t xml:space="preserve">C329</t>
  </si>
  <si>
    <t xml:space="preserve">FB Summer Sale</t>
  </si>
  <si>
    <t xml:space="preserve">2024-10-29</t>
  </si>
  <si>
    <t xml:space="preserve">2024-11-17</t>
  </si>
  <si>
    <t xml:space="preserve">C330</t>
  </si>
  <si>
    <t xml:space="preserve">2024-03-11</t>
  </si>
  <si>
    <t xml:space="preserve">2024-03-24</t>
  </si>
  <si>
    <t xml:space="preserve">C331</t>
  </si>
  <si>
    <t xml:space="preserve">2024-08-25</t>
  </si>
  <si>
    <t xml:space="preserve">C332</t>
  </si>
  <si>
    <t xml:space="preserve">2024-05-27</t>
  </si>
  <si>
    <t xml:space="preserve">2024-06-16</t>
  </si>
  <si>
    <t xml:space="preserve">C333</t>
  </si>
  <si>
    <t xml:space="preserve">2024-10-24</t>
  </si>
  <si>
    <t xml:space="preserve">2024-11-15</t>
  </si>
  <si>
    <t xml:space="preserve">C334</t>
  </si>
  <si>
    <t xml:space="preserve">2024-01-09</t>
  </si>
  <si>
    <t xml:space="preserve">2024-01-24</t>
  </si>
  <si>
    <t xml:space="preserve">C335</t>
  </si>
  <si>
    <t xml:space="preserve">2024-11-21</t>
  </si>
  <si>
    <t xml:space="preserve">2024-12-09</t>
  </si>
  <si>
    <t xml:space="preserve">C336</t>
  </si>
  <si>
    <t xml:space="preserve">2024-11-02</t>
  </si>
  <si>
    <t xml:space="preserve">2024-11-14</t>
  </si>
  <si>
    <t xml:space="preserve">C337</t>
  </si>
  <si>
    <t xml:space="preserve">2024-06-29</t>
  </si>
  <si>
    <t xml:space="preserve">2024-07-10</t>
  </si>
  <si>
    <t xml:space="preserve">C338</t>
  </si>
  <si>
    <t xml:space="preserve">2024-09-14</t>
  </si>
  <si>
    <t xml:space="preserve">2024-09-28</t>
  </si>
  <si>
    <t xml:space="preserve">C339</t>
  </si>
  <si>
    <t xml:space="preserve">2025-01-06</t>
  </si>
  <si>
    <t xml:space="preserve">C340</t>
  </si>
  <si>
    <t xml:space="preserve">2024-03-13</t>
  </si>
  <si>
    <t xml:space="preserve">2024-04-11</t>
  </si>
  <si>
    <t xml:space="preserve">C341</t>
  </si>
  <si>
    <t xml:space="preserve">2024-09-24</t>
  </si>
  <si>
    <t xml:space="preserve">C342</t>
  </si>
  <si>
    <t xml:space="preserve">2024-02-03</t>
  </si>
  <si>
    <t xml:space="preserve">2024-02-19</t>
  </si>
  <si>
    <t xml:space="preserve">C343</t>
  </si>
  <si>
    <t xml:space="preserve">C344</t>
  </si>
  <si>
    <t xml:space="preserve">2024-01-08</t>
  </si>
  <si>
    <t xml:space="preserve">2024-01-31</t>
  </si>
  <si>
    <t xml:space="preserve">C345</t>
  </si>
  <si>
    <t xml:space="preserve">C346</t>
  </si>
  <si>
    <t xml:space="preserve">2024-09-20</t>
  </si>
  <si>
    <t xml:space="preserve">2024-10-04</t>
  </si>
  <si>
    <t xml:space="preserve">C347</t>
  </si>
  <si>
    <t xml:space="preserve">2024-01-21</t>
  </si>
  <si>
    <t xml:space="preserve">2024-01-30</t>
  </si>
  <si>
    <t xml:space="preserve">C348</t>
  </si>
  <si>
    <t xml:space="preserve">2024-10-10</t>
  </si>
  <si>
    <t xml:space="preserve">2024-10-30</t>
  </si>
  <si>
    <t xml:space="preserve">C349</t>
  </si>
  <si>
    <t xml:space="preserve">2024-12-11</t>
  </si>
  <si>
    <t xml:space="preserve">2025-01-02</t>
  </si>
  <si>
    <t xml:space="preserve">C350</t>
  </si>
  <si>
    <t xml:space="preserve">2024-02-22</t>
  </si>
  <si>
    <t xml:space="preserve">2024-03-23</t>
  </si>
  <si>
    <t xml:space="preserve">C351</t>
  </si>
  <si>
    <t xml:space="preserve">2024-09-12</t>
  </si>
  <si>
    <t xml:space="preserve">2024-09-27</t>
  </si>
  <si>
    <t xml:space="preserve">C352</t>
  </si>
  <si>
    <t xml:space="preserve">C353</t>
  </si>
  <si>
    <t xml:space="preserve">C354</t>
  </si>
  <si>
    <t xml:space="preserve">2024-10-15</t>
  </si>
  <si>
    <t xml:space="preserve">C355</t>
  </si>
  <si>
    <t xml:space="preserve">2024-01-10</t>
  </si>
  <si>
    <t xml:space="preserve">2024-01-18</t>
  </si>
  <si>
    <t xml:space="preserve">C356</t>
  </si>
  <si>
    <t xml:space="preserve">2024-07-03</t>
  </si>
  <si>
    <t xml:space="preserve">C357</t>
  </si>
  <si>
    <t xml:space="preserve">2024-11-07</t>
  </si>
  <si>
    <t xml:space="preserve">C358</t>
  </si>
  <si>
    <t xml:space="preserve">2024-11-11</t>
  </si>
  <si>
    <t xml:space="preserve">C359</t>
  </si>
  <si>
    <t xml:space="preserve">2024-01-14</t>
  </si>
  <si>
    <t xml:space="preserve">2024-02-10</t>
  </si>
  <si>
    <t xml:space="preserve">C360</t>
  </si>
  <si>
    <t xml:space="preserve">2024-11-27</t>
  </si>
  <si>
    <t xml:space="preserve">2024-12-13</t>
  </si>
  <si>
    <t xml:space="preserve">C361</t>
  </si>
  <si>
    <t xml:space="preserve">2024-08-04</t>
  </si>
  <si>
    <t xml:space="preserve">2024-08-29</t>
  </si>
  <si>
    <t xml:space="preserve">C362</t>
  </si>
  <si>
    <t xml:space="preserve">C363</t>
  </si>
  <si>
    <t xml:space="preserve">2024-08-11</t>
  </si>
  <si>
    <t xml:space="preserve">C364</t>
  </si>
  <si>
    <t xml:space="preserve">2024-02-17</t>
  </si>
  <si>
    <t xml:space="preserve">2024-03-17</t>
  </si>
  <si>
    <t xml:space="preserve">C365</t>
  </si>
  <si>
    <t xml:space="preserve">2024-11-29</t>
  </si>
  <si>
    <t xml:space="preserve">2024-12-15</t>
  </si>
  <si>
    <t xml:space="preserve">C366</t>
  </si>
  <si>
    <t xml:space="preserve">2024-10-07</t>
  </si>
  <si>
    <t xml:space="preserve">2024-10-19</t>
  </si>
  <si>
    <t xml:space="preserve">C367</t>
  </si>
  <si>
    <t xml:space="preserve">2024-11-10</t>
  </si>
  <si>
    <t xml:space="preserve">2024-11-30</t>
  </si>
  <si>
    <t xml:space="preserve">C368</t>
  </si>
  <si>
    <t xml:space="preserve">2024-07-29</t>
  </si>
  <si>
    <t xml:space="preserve">C369</t>
  </si>
  <si>
    <t xml:space="preserve">2024-02-28</t>
  </si>
  <si>
    <t xml:space="preserve">2024-03-10</t>
  </si>
  <si>
    <t xml:space="preserve">C370</t>
  </si>
  <si>
    <t xml:space="preserve">2024-03-22</t>
  </si>
  <si>
    <t xml:space="preserve">2024-04-06</t>
  </si>
  <si>
    <t xml:space="preserve">C371</t>
  </si>
  <si>
    <t xml:space="preserve">2024-01-11</t>
  </si>
  <si>
    <t xml:space="preserve">2024-01-19</t>
  </si>
  <si>
    <t xml:space="preserve">C372</t>
  </si>
  <si>
    <t xml:space="preserve">2024-03-12</t>
  </si>
  <si>
    <t xml:space="preserve">2024-03-26</t>
  </si>
  <si>
    <t xml:space="preserve">C373</t>
  </si>
  <si>
    <t xml:space="preserve">2024-10-26</t>
  </si>
  <si>
    <t xml:space="preserve">2024-11-25</t>
  </si>
  <si>
    <t xml:space="preserve">C374</t>
  </si>
  <si>
    <t xml:space="preserve">2024-10-28</t>
  </si>
  <si>
    <t xml:space="preserve">C375</t>
  </si>
  <si>
    <t xml:space="preserve">2024-04-02</t>
  </si>
  <si>
    <t xml:space="preserve">C376</t>
  </si>
  <si>
    <t xml:space="preserve">2024-01-28</t>
  </si>
  <si>
    <t xml:space="preserve">2024-02-26</t>
  </si>
  <si>
    <t xml:space="preserve">C377</t>
  </si>
  <si>
    <t xml:space="preserve">2024-05-01</t>
  </si>
  <si>
    <t xml:space="preserve">C378</t>
  </si>
  <si>
    <t xml:space="preserve">2024-04-13</t>
  </si>
  <si>
    <t xml:space="preserve">C379</t>
  </si>
  <si>
    <t xml:space="preserve">2024-06-19</t>
  </si>
  <si>
    <t xml:space="preserve">2024-07-18</t>
  </si>
  <si>
    <t xml:space="preserve">C380</t>
  </si>
  <si>
    <t xml:space="preserve">2024-07-07</t>
  </si>
  <si>
    <t xml:space="preserve">C381</t>
  </si>
  <si>
    <t xml:space="preserve">2024-10-21</t>
  </si>
  <si>
    <t xml:space="preserve">C382</t>
  </si>
  <si>
    <t xml:space="preserve">C383</t>
  </si>
  <si>
    <t xml:space="preserve">2024-07-19</t>
  </si>
  <si>
    <t xml:space="preserve">C384</t>
  </si>
  <si>
    <t xml:space="preserve">2024-09-06</t>
  </si>
  <si>
    <t xml:space="preserve">C385</t>
  </si>
  <si>
    <t xml:space="preserve">2024-10-17</t>
  </si>
  <si>
    <t xml:space="preserve">C386</t>
  </si>
  <si>
    <t xml:space="preserve">2024-05-16</t>
  </si>
  <si>
    <t xml:space="preserve">2024-06-01</t>
  </si>
  <si>
    <t xml:space="preserve">C387</t>
  </si>
  <si>
    <t xml:space="preserve">2024-08-02</t>
  </si>
  <si>
    <t xml:space="preserve">2024-08-14</t>
  </si>
  <si>
    <t xml:space="preserve">C388</t>
  </si>
  <si>
    <t xml:space="preserve">2024-12-18</t>
  </si>
  <si>
    <t xml:space="preserve">C389</t>
  </si>
  <si>
    <t xml:space="preserve">2024-09-03</t>
  </si>
  <si>
    <t xml:space="preserve">C390</t>
  </si>
  <si>
    <t xml:space="preserve">2024-11-06</t>
  </si>
  <si>
    <t xml:space="preserve">2024-12-04</t>
  </si>
  <si>
    <t xml:space="preserve">C391</t>
  </si>
  <si>
    <t xml:space="preserve">2024-10-13</t>
  </si>
  <si>
    <t xml:space="preserve">C392</t>
  </si>
  <si>
    <t xml:space="preserve">2024-10-18</t>
  </si>
  <si>
    <t xml:space="preserve">C393</t>
  </si>
  <si>
    <t xml:space="preserve">2024-08-08</t>
  </si>
  <si>
    <t xml:space="preserve">C394</t>
  </si>
  <si>
    <t xml:space="preserve">2024-12-02</t>
  </si>
  <si>
    <t xml:space="preserve">2024-12-29</t>
  </si>
  <si>
    <t xml:space="preserve">C395</t>
  </si>
  <si>
    <t xml:space="preserve">2024-02-29</t>
  </si>
  <si>
    <t xml:space="preserve">C396</t>
  </si>
  <si>
    <t xml:space="preserve">2024-07-06</t>
  </si>
  <si>
    <t xml:space="preserve">C397</t>
  </si>
  <si>
    <t xml:space="preserve">2024-01-03</t>
  </si>
  <si>
    <t xml:space="preserve">2024-01-26</t>
  </si>
  <si>
    <t xml:space="preserve">C398</t>
  </si>
  <si>
    <t xml:space="preserve">2024-12-14</t>
  </si>
  <si>
    <t xml:space="preserve">2024-12-24</t>
  </si>
  <si>
    <t xml:space="preserve">C399</t>
  </si>
  <si>
    <t xml:space="preserve">2024-05-17</t>
  </si>
  <si>
    <t xml:space="preserve">2024-06-12</t>
  </si>
  <si>
    <t xml:space="preserve">C400</t>
  </si>
  <si>
    <t xml:space="preserve">C401</t>
  </si>
  <si>
    <t xml:space="preserve">2024-05-10</t>
  </si>
  <si>
    <t xml:space="preserve">C402</t>
  </si>
  <si>
    <t xml:space="preserve">C403</t>
  </si>
  <si>
    <t xml:space="preserve">C404</t>
  </si>
  <si>
    <t xml:space="preserve">C405</t>
  </si>
  <si>
    <t xml:space="preserve">2024-03-20</t>
  </si>
  <si>
    <t xml:space="preserve">C406</t>
  </si>
  <si>
    <t xml:space="preserve">2024-06-02</t>
  </si>
  <si>
    <t xml:space="preserve">C407</t>
  </si>
  <si>
    <t xml:space="preserve">2024-02-18</t>
  </si>
  <si>
    <t xml:space="preserve">C408</t>
  </si>
  <si>
    <t xml:space="preserve">2024-04-22</t>
  </si>
  <si>
    <t xml:space="preserve">C409</t>
  </si>
  <si>
    <t xml:space="preserve">2024-05-15</t>
  </si>
  <si>
    <t xml:space="preserve">C410</t>
  </si>
  <si>
    <t xml:space="preserve">2024-01-22</t>
  </si>
  <si>
    <t xml:space="preserve">C411</t>
  </si>
  <si>
    <t xml:space="preserve">2024-09-22</t>
  </si>
  <si>
    <t xml:space="preserve">C412</t>
  </si>
  <si>
    <t xml:space="preserve">C413</t>
  </si>
  <si>
    <t xml:space="preserve">C414</t>
  </si>
  <si>
    <t xml:space="preserve">2024-08-18</t>
  </si>
  <si>
    <t xml:space="preserve">C415</t>
  </si>
  <si>
    <t xml:space="preserve">2024-08-09</t>
  </si>
  <si>
    <t xml:space="preserve">C416</t>
  </si>
  <si>
    <t xml:space="preserve">C417</t>
  </si>
  <si>
    <t xml:space="preserve">2024-10-06</t>
  </si>
  <si>
    <t xml:space="preserve">C418</t>
  </si>
  <si>
    <t xml:space="preserve">2024-11-24</t>
  </si>
  <si>
    <t xml:space="preserve">C419</t>
  </si>
  <si>
    <t xml:space="preserve">2024-07-25</t>
  </si>
  <si>
    <t xml:space="preserve">C420</t>
  </si>
  <si>
    <t xml:space="preserve">2024-02-21</t>
  </si>
  <si>
    <t xml:space="preserve">C421</t>
  </si>
  <si>
    <t xml:space="preserve">C422</t>
  </si>
  <si>
    <t xml:space="preserve">2024-06-30</t>
  </si>
  <si>
    <t xml:space="preserve">2024-07-08</t>
  </si>
  <si>
    <t xml:space="preserve">C423</t>
  </si>
  <si>
    <t xml:space="preserve">2024-08-22</t>
  </si>
  <si>
    <t xml:space="preserve">2024-09-01</t>
  </si>
  <si>
    <t xml:space="preserve">C424</t>
  </si>
  <si>
    <t xml:space="preserve">2024-05-29</t>
  </si>
  <si>
    <t xml:space="preserve">C425</t>
  </si>
  <si>
    <t xml:space="preserve">2024-07-31</t>
  </si>
  <si>
    <t xml:space="preserve">2024-08-07</t>
  </si>
  <si>
    <t xml:space="preserve">C426</t>
  </si>
  <si>
    <t xml:space="preserve">2024-12-06</t>
  </si>
  <si>
    <t xml:space="preserve">C427</t>
  </si>
  <si>
    <t xml:space="preserve">C428</t>
  </si>
  <si>
    <t xml:space="preserve">2024-03-25</t>
  </si>
  <si>
    <t xml:space="preserve">2024-04-14</t>
  </si>
  <si>
    <t xml:space="preserve">C429</t>
  </si>
  <si>
    <t xml:space="preserve">2024-12-27</t>
  </si>
  <si>
    <t xml:space="preserve">C430</t>
  </si>
  <si>
    <t xml:space="preserve">2024-05-23</t>
  </si>
  <si>
    <t xml:space="preserve">2024-06-15</t>
  </si>
  <si>
    <t xml:space="preserve">C431</t>
  </si>
  <si>
    <t xml:space="preserve">2024-06-25</t>
  </si>
  <si>
    <t xml:space="preserve">2024-07-22</t>
  </si>
  <si>
    <t xml:space="preserve">C432</t>
  </si>
  <si>
    <t xml:space="preserve">2024-10-03</t>
  </si>
  <si>
    <t xml:space="preserve">C433</t>
  </si>
  <si>
    <t xml:space="preserve">2024-05-12</t>
  </si>
  <si>
    <t xml:space="preserve">C434</t>
  </si>
  <si>
    <t xml:space="preserve">2024-03-04</t>
  </si>
  <si>
    <t xml:space="preserve">C435</t>
  </si>
  <si>
    <t xml:space="preserve">C436</t>
  </si>
  <si>
    <t xml:space="preserve">2024-10-23</t>
  </si>
  <si>
    <t xml:space="preserve">C437</t>
  </si>
  <si>
    <t xml:space="preserve">C438</t>
  </si>
  <si>
    <t xml:space="preserve">2024-10-11</t>
  </si>
  <si>
    <t xml:space="preserve">C439</t>
  </si>
  <si>
    <t xml:space="preserve">2024-09-26</t>
  </si>
  <si>
    <t xml:space="preserve">C440</t>
  </si>
  <si>
    <t xml:space="preserve">2024-03-21</t>
  </si>
  <si>
    <t xml:space="preserve">C441</t>
  </si>
  <si>
    <t xml:space="preserve">C442</t>
  </si>
  <si>
    <t xml:space="preserve">2024-04-20</t>
  </si>
  <si>
    <t xml:space="preserve">C443</t>
  </si>
  <si>
    <t xml:space="preserve">2024-06-21</t>
  </si>
  <si>
    <t xml:space="preserve">C444</t>
  </si>
  <si>
    <t xml:space="preserve">2024-02-15</t>
  </si>
  <si>
    <t xml:space="preserve">C445</t>
  </si>
  <si>
    <t xml:space="preserve">2024-06-18</t>
  </si>
  <si>
    <t xml:space="preserve">C446</t>
  </si>
  <si>
    <t xml:space="preserve">2024-02-13</t>
  </si>
  <si>
    <t xml:space="preserve">C447</t>
  </si>
  <si>
    <t xml:space="preserve">2024-05-20</t>
  </si>
  <si>
    <t xml:space="preserve">C448</t>
  </si>
  <si>
    <t xml:space="preserve">2024-08-23</t>
  </si>
  <si>
    <t xml:space="preserve">C449</t>
  </si>
  <si>
    <t xml:space="preserve">2024-05-19</t>
  </si>
  <si>
    <t xml:space="preserve">C450</t>
  </si>
  <si>
    <t xml:space="preserve">2024-07-28</t>
  </si>
  <si>
    <t xml:space="preserve">C451</t>
  </si>
  <si>
    <t xml:space="preserve">2024-11-01</t>
  </si>
  <si>
    <t xml:space="preserve">2024-11-26</t>
  </si>
  <si>
    <t xml:space="preserve">C452</t>
  </si>
  <si>
    <t xml:space="preserve">C453</t>
  </si>
  <si>
    <t xml:space="preserve">C454</t>
  </si>
  <si>
    <t xml:space="preserve">2024-08-19</t>
  </si>
  <si>
    <t xml:space="preserve">2024-08-27</t>
  </si>
  <si>
    <t xml:space="preserve">C455</t>
  </si>
  <si>
    <t xml:space="preserve">C456</t>
  </si>
  <si>
    <t xml:space="preserve">C457</t>
  </si>
  <si>
    <t xml:space="preserve">2024-05-13</t>
  </si>
  <si>
    <t xml:space="preserve">2024-06-11</t>
  </si>
  <si>
    <t xml:space="preserve">C458</t>
  </si>
  <si>
    <t xml:space="preserve">2024-12-31</t>
  </si>
  <si>
    <t xml:space="preserve">C459</t>
  </si>
  <si>
    <t xml:space="preserve">2024-10-02</t>
  </si>
  <si>
    <t xml:space="preserve">C460</t>
  </si>
  <si>
    <t xml:space="preserve">C461</t>
  </si>
  <si>
    <t xml:space="preserve">2024-07-02</t>
  </si>
  <si>
    <t xml:space="preserve">2024-07-15</t>
  </si>
  <si>
    <t xml:space="preserve">C462</t>
  </si>
  <si>
    <t xml:space="preserve">2024-11-19</t>
  </si>
  <si>
    <t xml:space="preserve">C463</t>
  </si>
  <si>
    <t xml:space="preserve">2024-10-16</t>
  </si>
  <si>
    <t xml:space="preserve">2024-11-13</t>
  </si>
  <si>
    <t xml:space="preserve">C464</t>
  </si>
  <si>
    <t xml:space="preserve">C465</t>
  </si>
  <si>
    <t xml:space="preserve">2024-08-06</t>
  </si>
  <si>
    <t xml:space="preserve">2024-09-02</t>
  </si>
  <si>
    <t xml:space="preserve">C466</t>
  </si>
  <si>
    <t xml:space="preserve">2024-04-24</t>
  </si>
  <si>
    <t xml:space="preserve">C467</t>
  </si>
  <si>
    <t xml:space="preserve">2024-04-25</t>
  </si>
  <si>
    <t xml:space="preserve">2024-05-24</t>
  </si>
  <si>
    <t xml:space="preserve">C468</t>
  </si>
  <si>
    <t xml:space="preserve">2024-01-13</t>
  </si>
  <si>
    <t xml:space="preserve">2024-02-07</t>
  </si>
  <si>
    <t xml:space="preserve">C469</t>
  </si>
  <si>
    <t xml:space="preserve">C470</t>
  </si>
  <si>
    <t xml:space="preserve">2024-12-21</t>
  </si>
  <si>
    <t xml:space="preserve">2024-12-30</t>
  </si>
  <si>
    <t xml:space="preserve">C471</t>
  </si>
  <si>
    <t xml:space="preserve">2024-05-30</t>
  </si>
  <si>
    <t xml:space="preserve">C472</t>
  </si>
  <si>
    <t xml:space="preserve">C473</t>
  </si>
  <si>
    <t xml:space="preserve">C474</t>
  </si>
  <si>
    <t xml:space="preserve">2024-04-05</t>
  </si>
  <si>
    <t xml:space="preserve">2024-04-19</t>
  </si>
  <si>
    <t xml:space="preserve">C475</t>
  </si>
  <si>
    <t xml:space="preserve">C476</t>
  </si>
  <si>
    <t xml:space="preserve">C477</t>
  </si>
  <si>
    <t xml:space="preserve">2024-12-07</t>
  </si>
  <si>
    <t xml:space="preserve">C478</t>
  </si>
  <si>
    <t xml:space="preserve">C479</t>
  </si>
  <si>
    <t xml:space="preserve">2024-07-11</t>
  </si>
  <si>
    <t xml:space="preserve">2024-07-24</t>
  </si>
  <si>
    <t xml:space="preserve">C480</t>
  </si>
  <si>
    <t xml:space="preserve">C481</t>
  </si>
  <si>
    <t xml:space="preserve">C482</t>
  </si>
  <si>
    <t xml:space="preserve">2024-03-14</t>
  </si>
  <si>
    <t xml:space="preserve">C483</t>
  </si>
  <si>
    <t xml:space="preserve">2024-12-05</t>
  </si>
  <si>
    <t xml:space="preserve">C484</t>
  </si>
  <si>
    <t xml:space="preserve">C485</t>
  </si>
  <si>
    <t xml:space="preserve">C486</t>
  </si>
  <si>
    <t xml:space="preserve">2024-08-01</t>
  </si>
  <si>
    <t xml:space="preserve">C487</t>
  </si>
  <si>
    <t xml:space="preserve">C488</t>
  </si>
  <si>
    <t xml:space="preserve">2024-07-12</t>
  </si>
  <si>
    <t xml:space="preserve">C489</t>
  </si>
  <si>
    <t xml:space="preserve">2024-02-12</t>
  </si>
  <si>
    <t xml:space="preserve">C490</t>
  </si>
  <si>
    <t xml:space="preserve">2024-04-01</t>
  </si>
  <si>
    <t xml:space="preserve">C491</t>
  </si>
  <si>
    <t xml:space="preserve">C492</t>
  </si>
  <si>
    <t xml:space="preserve">C493</t>
  </si>
  <si>
    <t xml:space="preserve">C494</t>
  </si>
  <si>
    <t xml:space="preserve">2024-10-09</t>
  </si>
  <si>
    <t xml:space="preserve">C495</t>
  </si>
  <si>
    <t xml:space="preserve">2024-10-12</t>
  </si>
  <si>
    <t xml:space="preserve">C496</t>
  </si>
  <si>
    <t xml:space="preserve">C497</t>
  </si>
  <si>
    <t xml:space="preserve">2024-07-13</t>
  </si>
  <si>
    <t xml:space="preserve">C498</t>
  </si>
  <si>
    <t xml:space="preserve">C499</t>
  </si>
  <si>
    <t xml:space="preserve">C500</t>
  </si>
  <si>
    <t xml:space="preserve">Marketing Campaign Performance Dashboard</t>
  </si>
  <si>
    <t xml:space="preserve">Overall KPIs</t>
  </si>
  <si>
    <t xml:space="preserve">KPI</t>
  </si>
  <si>
    <t xml:space="preserve">Value</t>
  </si>
  <si>
    <t xml:space="preserve">Total Campaigns</t>
  </si>
  <si>
    <t xml:space="preserve">Total Spend (₹)</t>
  </si>
  <si>
    <t xml:space="preserve">Total Revenue (₹)</t>
  </si>
  <si>
    <t xml:space="preserve">Overall ROI (%)</t>
  </si>
  <si>
    <t xml:space="preserve">Total Impressions</t>
  </si>
  <si>
    <t xml:space="preserve">Total Clicks</t>
  </si>
  <si>
    <t xml:space="preserve">Total Conversions</t>
  </si>
  <si>
    <t xml:space="preserve">Total Leads Generated</t>
  </si>
  <si>
    <t xml:space="preserve">Average CTR (%)</t>
  </si>
  <si>
    <t xml:space="preserve">Average Conversion Rate (%)</t>
  </si>
  <si>
    <t xml:space="preserve">Average CPL (₹)</t>
  </si>
  <si>
    <t xml:space="preserve">Cost per Conversion (₹)</t>
  </si>
  <si>
    <t xml:space="preserve">Channel Performance Comparison</t>
  </si>
  <si>
    <t xml:space="preserve">ROI (%)</t>
  </si>
  <si>
    <t xml:space="preserve">Avg CTR (%)</t>
  </si>
  <si>
    <t xml:space="preserve">Avg Conversion Rate (%)</t>
  </si>
  <si>
    <t xml:space="preserve">Total Leads</t>
  </si>
  <si>
    <t xml:space="preserve">Region Performance</t>
  </si>
  <si>
    <t xml:space="preserve">Campaign Count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</si>
</sst>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00695C"/>
      <name val="Arial"/>
      <family val="0"/>
      <charset val="1"/>
    </font>
    <font>
      <b val="true"/>
      <sz val="11"/>
      <color rgb="FF00695C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95C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695C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21"/>
    <col collapsed="false" customWidth="true" hidden="false" outlineLevel="0" max="15" min="15" style="0" width="23"/>
    <col collapsed="false" customWidth="true" hidden="false" outlineLevel="0" max="16" min="16" style="0" width="12"/>
    <col collapsed="false" customWidth="true" hidden="false" outlineLevel="0" max="17" min="17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n">
        <v>62417</v>
      </c>
      <c r="H2" s="2" t="n">
        <v>3592</v>
      </c>
      <c r="I2" s="2" t="n">
        <v>338</v>
      </c>
      <c r="J2" s="2" t="n">
        <v>102133.2</v>
      </c>
      <c r="K2" s="2" t="n">
        <v>236350.29</v>
      </c>
      <c r="L2" s="2" t="n">
        <v>646</v>
      </c>
      <c r="M2" s="2" t="n">
        <f aca="false">H2/G2*100</f>
        <v>5.75484243074803</v>
      </c>
      <c r="N2" s="2" t="n">
        <f aca="false">I2/H2*100</f>
        <v>9.4097995545657</v>
      </c>
      <c r="O2" s="2" t="n">
        <f aca="false">(K2-J2)/J2*100</f>
        <v>131.4137714279</v>
      </c>
      <c r="P2" s="2" t="n">
        <f aca="false">J2/L2</f>
        <v>158.10092879257</v>
      </c>
      <c r="Q2" s="2" t="n">
        <f aca="false">J2/I2</f>
        <v>302.169230769231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n">
        <v>111536</v>
      </c>
      <c r="H3" s="3" t="n">
        <v>6396</v>
      </c>
      <c r="I3" s="3" t="n">
        <v>905</v>
      </c>
      <c r="J3" s="3" t="n">
        <v>50918.66</v>
      </c>
      <c r="K3" s="3" t="n">
        <v>103097.93</v>
      </c>
      <c r="L3" s="3" t="n">
        <v>1281</v>
      </c>
      <c r="M3" s="3" t="n">
        <f aca="false">H3/G3*100</f>
        <v>5.73447138143738</v>
      </c>
      <c r="N3" s="3" t="n">
        <f aca="false">I3/H3*100</f>
        <v>14.1494684177611</v>
      </c>
      <c r="O3" s="3" t="n">
        <f aca="false">(K3-J3)/J3*100</f>
        <v>102.475732864926</v>
      </c>
      <c r="P3" s="3" t="n">
        <f aca="false">J3/L3</f>
        <v>39.7491491022639</v>
      </c>
      <c r="Q3" s="3" t="n">
        <f aca="false">J3/I3</f>
        <v>56.2637127071823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n">
        <v>45783</v>
      </c>
      <c r="H4" s="2" t="n">
        <v>1424</v>
      </c>
      <c r="I4" s="2" t="n">
        <v>203</v>
      </c>
      <c r="J4" s="2" t="n">
        <v>92371.41</v>
      </c>
      <c r="K4" s="2" t="n">
        <v>272383.06</v>
      </c>
      <c r="L4" s="2" t="n">
        <v>279</v>
      </c>
      <c r="M4" s="2" t="n">
        <f aca="false">H4/G4*100</f>
        <v>3.11032479304545</v>
      </c>
      <c r="N4" s="2" t="n">
        <f aca="false">I4/H4*100</f>
        <v>14.2556179775281</v>
      </c>
      <c r="O4" s="2" t="n">
        <f aca="false">(K4-J4)/J4*100</f>
        <v>194.878101351923</v>
      </c>
      <c r="P4" s="2" t="n">
        <f aca="false">J4/L4</f>
        <v>331.080322580645</v>
      </c>
      <c r="Q4" s="2" t="n">
        <f aca="false">J4/I4</f>
        <v>455.03157635468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19</v>
      </c>
      <c r="D5" s="3" t="s">
        <v>37</v>
      </c>
      <c r="E5" s="3" t="s">
        <v>38</v>
      </c>
      <c r="F5" s="3" t="s">
        <v>28</v>
      </c>
      <c r="G5" s="3" t="n">
        <v>32668</v>
      </c>
      <c r="H5" s="3" t="n">
        <v>1998</v>
      </c>
      <c r="I5" s="3" t="n">
        <v>308</v>
      </c>
      <c r="J5" s="3" t="n">
        <v>174506.82</v>
      </c>
      <c r="K5" s="3" t="n">
        <v>296280.82</v>
      </c>
      <c r="L5" s="3" t="n">
        <v>486</v>
      </c>
      <c r="M5" s="3" t="n">
        <f aca="false">H5/G5*100</f>
        <v>6.11607689482062</v>
      </c>
      <c r="N5" s="3" t="n">
        <f aca="false">I5/H5*100</f>
        <v>15.4154154154154</v>
      </c>
      <c r="O5" s="3" t="n">
        <f aca="false">(K5-J5)/J5*100</f>
        <v>69.7817999319454</v>
      </c>
      <c r="P5" s="3" t="n">
        <f aca="false">J5/L5</f>
        <v>359.067530864198</v>
      </c>
      <c r="Q5" s="3" t="n">
        <f aca="false">J5/I5</f>
        <v>566.580584415584</v>
      </c>
    </row>
    <row r="6" customFormat="false" ht="15" hidden="false" customHeight="false" outlineLevel="0" collapsed="false">
      <c r="A6" s="2" t="s">
        <v>39</v>
      </c>
      <c r="B6" s="2" t="s">
        <v>24</v>
      </c>
      <c r="C6" s="2" t="s">
        <v>25</v>
      </c>
      <c r="D6" s="2" t="s">
        <v>40</v>
      </c>
      <c r="E6" s="2" t="s">
        <v>41</v>
      </c>
      <c r="F6" s="2" t="s">
        <v>42</v>
      </c>
      <c r="G6" s="2" t="n">
        <v>74967</v>
      </c>
      <c r="H6" s="2" t="n">
        <v>3952</v>
      </c>
      <c r="I6" s="2" t="n">
        <v>655</v>
      </c>
      <c r="J6" s="2" t="n">
        <v>179987.19</v>
      </c>
      <c r="K6" s="2" t="n">
        <v>460960.65</v>
      </c>
      <c r="L6" s="2" t="n">
        <v>864</v>
      </c>
      <c r="M6" s="2" t="n">
        <f aca="false">H6/G6*100</f>
        <v>5.27165286059199</v>
      </c>
      <c r="N6" s="2" t="n">
        <f aca="false">I6/H6*100</f>
        <v>16.5738866396761</v>
      </c>
      <c r="O6" s="2" t="n">
        <f aca="false">(K6-J6)/J6*100</f>
        <v>156.107476315398</v>
      </c>
      <c r="P6" s="2" t="n">
        <f aca="false">J6/L6</f>
        <v>208.318506944444</v>
      </c>
      <c r="Q6" s="2" t="n">
        <f aca="false">J6/I6</f>
        <v>274.789603053435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s">
        <v>31</v>
      </c>
      <c r="D7" s="3" t="s">
        <v>45</v>
      </c>
      <c r="E7" s="3" t="s">
        <v>46</v>
      </c>
      <c r="F7" s="3" t="s">
        <v>42</v>
      </c>
      <c r="G7" s="3" t="n">
        <v>133378</v>
      </c>
      <c r="H7" s="3" t="n">
        <v>12450</v>
      </c>
      <c r="I7" s="3" t="n">
        <v>1877</v>
      </c>
      <c r="J7" s="3" t="n">
        <v>93754.06</v>
      </c>
      <c r="K7" s="3" t="n">
        <v>197533.84</v>
      </c>
      <c r="L7" s="3" t="n">
        <v>3468</v>
      </c>
      <c r="M7" s="3" t="n">
        <f aca="false">H7/G7*100</f>
        <v>9.33437298505001</v>
      </c>
      <c r="N7" s="3" t="n">
        <f aca="false">I7/H7*100</f>
        <v>15.0763052208835</v>
      </c>
      <c r="O7" s="3" t="n">
        <f aca="false">(K7-J7)/J7*100</f>
        <v>110.693638227507</v>
      </c>
      <c r="P7" s="3" t="n">
        <f aca="false">J7/L7</f>
        <v>27.0340426758939</v>
      </c>
      <c r="Q7" s="3" t="n">
        <f aca="false">J7/I7</f>
        <v>49.9488865210442</v>
      </c>
    </row>
    <row r="8" customFormat="false" ht="15" hidden="false" customHeight="false" outlineLevel="0" collapsed="false">
      <c r="A8" s="2" t="s">
        <v>47</v>
      </c>
      <c r="B8" s="2" t="s">
        <v>24</v>
      </c>
      <c r="C8" s="2" t="s">
        <v>25</v>
      </c>
      <c r="D8" s="2" t="s">
        <v>32</v>
      </c>
      <c r="E8" s="2" t="s">
        <v>48</v>
      </c>
      <c r="F8" s="2" t="s">
        <v>28</v>
      </c>
      <c r="G8" s="2" t="n">
        <v>31781</v>
      </c>
      <c r="H8" s="2" t="n">
        <v>2410</v>
      </c>
      <c r="I8" s="2" t="n">
        <v>126</v>
      </c>
      <c r="J8" s="2" t="n">
        <v>150380.46</v>
      </c>
      <c r="K8" s="2" t="n">
        <v>509014.99</v>
      </c>
      <c r="L8" s="2" t="n">
        <v>164</v>
      </c>
      <c r="M8" s="2" t="n">
        <f aca="false">H8/G8*100</f>
        <v>7.58314716339952</v>
      </c>
      <c r="N8" s="2" t="n">
        <f aca="false">I8/H8*100</f>
        <v>5.22821576763486</v>
      </c>
      <c r="O8" s="2" t="n">
        <f aca="false">(K8-J8)/J8*100</f>
        <v>238.484793835582</v>
      </c>
      <c r="P8" s="2" t="n">
        <f aca="false">J8/L8</f>
        <v>916.954024390244</v>
      </c>
      <c r="Q8" s="2" t="n">
        <f aca="false">J8/I8</f>
        <v>1193.49571428571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s">
        <v>31</v>
      </c>
      <c r="D9" s="3" t="s">
        <v>51</v>
      </c>
      <c r="E9" s="3" t="s">
        <v>52</v>
      </c>
      <c r="F9" s="3" t="s">
        <v>34</v>
      </c>
      <c r="G9" s="3" t="n">
        <v>185383</v>
      </c>
      <c r="H9" s="3" t="n">
        <v>9358</v>
      </c>
      <c r="I9" s="3" t="n">
        <v>1784</v>
      </c>
      <c r="J9" s="3" t="n">
        <v>173715.59</v>
      </c>
      <c r="K9" s="3" t="n">
        <v>507034.01</v>
      </c>
      <c r="L9" s="3" t="n">
        <v>2175</v>
      </c>
      <c r="M9" s="3" t="n">
        <f aca="false">H9/G9*100</f>
        <v>5.04792780352028</v>
      </c>
      <c r="N9" s="3" t="n">
        <f aca="false">I9/H9*100</f>
        <v>19.0639025432785</v>
      </c>
      <c r="O9" s="3" t="n">
        <f aca="false">(K9-J9)/J9*100</f>
        <v>191.875939286739</v>
      </c>
      <c r="P9" s="3" t="n">
        <f aca="false">J9/L9</f>
        <v>79.8692367816092</v>
      </c>
      <c r="Q9" s="3" t="n">
        <f aca="false">J9/I9</f>
        <v>97.3742096412556</v>
      </c>
    </row>
    <row r="10" customFormat="false" ht="15" hidden="false" customHeight="false" outlineLevel="0" collapsed="false">
      <c r="A10" s="2" t="s">
        <v>53</v>
      </c>
      <c r="B10" s="2" t="s">
        <v>24</v>
      </c>
      <c r="C10" s="2" t="s">
        <v>25</v>
      </c>
      <c r="D10" s="2" t="s">
        <v>54</v>
      </c>
      <c r="E10" s="2" t="s">
        <v>55</v>
      </c>
      <c r="F10" s="2" t="s">
        <v>22</v>
      </c>
      <c r="G10" s="2" t="n">
        <v>107103</v>
      </c>
      <c r="H10" s="2" t="n">
        <v>8855</v>
      </c>
      <c r="I10" s="2" t="n">
        <v>1689</v>
      </c>
      <c r="J10" s="2" t="n">
        <v>15252.28</v>
      </c>
      <c r="K10" s="2" t="n">
        <v>40308.75</v>
      </c>
      <c r="L10" s="2" t="n">
        <v>2546</v>
      </c>
      <c r="M10" s="2" t="n">
        <f aca="false">H10/G10*100</f>
        <v>8.26774226678991</v>
      </c>
      <c r="N10" s="2" t="n">
        <f aca="false">I10/H10*100</f>
        <v>19.0739695087521</v>
      </c>
      <c r="O10" s="2" t="n">
        <f aca="false">(K10-J10)/J10*100</f>
        <v>164.280160080985</v>
      </c>
      <c r="P10" s="2" t="n">
        <f aca="false">J10/L10</f>
        <v>5.99068342498036</v>
      </c>
      <c r="Q10" s="2" t="n">
        <f aca="false">J10/I10</f>
        <v>9.03036116044997</v>
      </c>
    </row>
    <row r="11" customFormat="false" ht="15" hidden="false" customHeight="false" outlineLevel="0" collapsed="false">
      <c r="A11" s="3" t="s">
        <v>56</v>
      </c>
      <c r="B11" s="3" t="s">
        <v>30</v>
      </c>
      <c r="C11" s="3" t="s">
        <v>31</v>
      </c>
      <c r="D11" s="3" t="s">
        <v>57</v>
      </c>
      <c r="E11" s="3" t="s">
        <v>58</v>
      </c>
      <c r="F11" s="3" t="s">
        <v>22</v>
      </c>
      <c r="G11" s="3" t="n">
        <v>121647</v>
      </c>
      <c r="H11" s="3" t="n">
        <v>11591</v>
      </c>
      <c r="I11" s="3" t="n">
        <v>2197</v>
      </c>
      <c r="J11" s="3" t="n">
        <v>128312.73</v>
      </c>
      <c r="K11" s="3" t="n">
        <v>323736.55</v>
      </c>
      <c r="L11" s="3" t="n">
        <v>3000</v>
      </c>
      <c r="M11" s="3" t="n">
        <f aca="false">H11/G11*100</f>
        <v>9.52838952049783</v>
      </c>
      <c r="N11" s="3" t="n">
        <f aca="false">I11/H11*100</f>
        <v>18.9543611422656</v>
      </c>
      <c r="O11" s="3" t="n">
        <f aca="false">(K11-J11)/J11*100</f>
        <v>152.30275281338</v>
      </c>
      <c r="P11" s="3" t="n">
        <f aca="false">J11/L11</f>
        <v>42.77091</v>
      </c>
      <c r="Q11" s="3" t="n">
        <f aca="false">J11/I11</f>
        <v>58.4036094674556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n">
        <v>144935</v>
      </c>
      <c r="H12" s="2" t="n">
        <v>16599</v>
      </c>
      <c r="I12" s="2" t="n">
        <v>3069</v>
      </c>
      <c r="J12" s="2" t="n">
        <v>179275.91</v>
      </c>
      <c r="K12" s="2" t="n">
        <v>260886.44</v>
      </c>
      <c r="L12" s="2" t="n">
        <v>4580</v>
      </c>
      <c r="M12" s="2" t="n">
        <f aca="false">H12/G12*100</f>
        <v>11.4527201849105</v>
      </c>
      <c r="N12" s="2" t="n">
        <f aca="false">I12/H12*100</f>
        <v>18.4890656063618</v>
      </c>
      <c r="O12" s="2" t="n">
        <f aca="false">(K12-J12)/J12*100</f>
        <v>45.5223069290235</v>
      </c>
      <c r="P12" s="2" t="n">
        <f aca="false">J12/L12</f>
        <v>39.143211790393</v>
      </c>
      <c r="Q12" s="2" t="n">
        <f aca="false">J12/I12</f>
        <v>58.4150896057348</v>
      </c>
    </row>
    <row r="13" customFormat="false" ht="15" hidden="false" customHeight="false" outlineLevel="0" collapsed="false">
      <c r="A13" s="3" t="s">
        <v>65</v>
      </c>
      <c r="B13" s="3" t="s">
        <v>66</v>
      </c>
      <c r="C13" s="3" t="s">
        <v>61</v>
      </c>
      <c r="D13" s="3" t="s">
        <v>67</v>
      </c>
      <c r="E13" s="3" t="s">
        <v>68</v>
      </c>
      <c r="F13" s="3" t="s">
        <v>28</v>
      </c>
      <c r="G13" s="3" t="n">
        <v>179914</v>
      </c>
      <c r="H13" s="3" t="n">
        <v>13651</v>
      </c>
      <c r="I13" s="3" t="n">
        <v>865</v>
      </c>
      <c r="J13" s="3" t="n">
        <v>146227.37</v>
      </c>
      <c r="K13" s="3" t="n">
        <v>244322.39</v>
      </c>
      <c r="L13" s="3" t="n">
        <v>1717</v>
      </c>
      <c r="M13" s="3" t="n">
        <f aca="false">H13/G13*100</f>
        <v>7.58751403448314</v>
      </c>
      <c r="N13" s="3" t="n">
        <f aca="false">I13/H13*100</f>
        <v>6.33653212218885</v>
      </c>
      <c r="O13" s="3" t="n">
        <f aca="false">(K13-J13)/J13*100</f>
        <v>67.0838981785695</v>
      </c>
      <c r="P13" s="3" t="n">
        <f aca="false">J13/L13</f>
        <v>85.1644554455446</v>
      </c>
      <c r="Q13" s="3" t="n">
        <f aca="false">J13/I13</f>
        <v>169.04898265896</v>
      </c>
    </row>
    <row r="14" customFormat="false" ht="15" hidden="false" customHeight="false" outlineLevel="0" collapsed="false">
      <c r="A14" s="2" t="s">
        <v>69</v>
      </c>
      <c r="B14" s="2" t="s">
        <v>24</v>
      </c>
      <c r="C14" s="2" t="s">
        <v>25</v>
      </c>
      <c r="D14" s="2" t="s">
        <v>70</v>
      </c>
      <c r="E14" s="2" t="s">
        <v>71</v>
      </c>
      <c r="F14" s="2" t="s">
        <v>42</v>
      </c>
      <c r="G14" s="2" t="n">
        <v>69097</v>
      </c>
      <c r="H14" s="2" t="n">
        <v>3596</v>
      </c>
      <c r="I14" s="2" t="n">
        <v>825</v>
      </c>
      <c r="J14" s="2" t="n">
        <v>108159.7</v>
      </c>
      <c r="K14" s="2" t="n">
        <v>235002.58</v>
      </c>
      <c r="L14" s="2" t="n">
        <v>1025</v>
      </c>
      <c r="M14" s="2" t="n">
        <f aca="false">H14/G14*100</f>
        <v>5.20427804390929</v>
      </c>
      <c r="N14" s="2" t="n">
        <f aca="false">I14/H14*100</f>
        <v>22.9421579532814</v>
      </c>
      <c r="O14" s="2" t="n">
        <f aca="false">(K14-J14)/J14*100</f>
        <v>117.273698059444</v>
      </c>
      <c r="P14" s="2" t="n">
        <f aca="false">J14/L14</f>
        <v>105.521658536585</v>
      </c>
      <c r="Q14" s="2" t="n">
        <f aca="false">J14/I14</f>
        <v>131.102666666667</v>
      </c>
    </row>
    <row r="15" customFormat="false" ht="15" hidden="false" customHeight="false" outlineLevel="0" collapsed="false">
      <c r="A15" s="3" t="s">
        <v>72</v>
      </c>
      <c r="B15" s="3" t="s">
        <v>73</v>
      </c>
      <c r="C15" s="3" t="s">
        <v>25</v>
      </c>
      <c r="D15" s="3" t="s">
        <v>74</v>
      </c>
      <c r="E15" s="3" t="s">
        <v>75</v>
      </c>
      <c r="F15" s="3" t="s">
        <v>28</v>
      </c>
      <c r="G15" s="3" t="n">
        <v>133250</v>
      </c>
      <c r="H15" s="3" t="n">
        <v>12123</v>
      </c>
      <c r="I15" s="3" t="n">
        <v>2250</v>
      </c>
      <c r="J15" s="3" t="n">
        <v>113578.26</v>
      </c>
      <c r="K15" s="3" t="n">
        <v>212642.13</v>
      </c>
      <c r="L15" s="3" t="n">
        <v>3817</v>
      </c>
      <c r="M15" s="3" t="n">
        <f aca="false">H15/G15*100</f>
        <v>9.09793621013133</v>
      </c>
      <c r="N15" s="3" t="n">
        <f aca="false">I15/H15*100</f>
        <v>18.5597624350408</v>
      </c>
      <c r="O15" s="3" t="n">
        <f aca="false">(K15-J15)/J15*100</f>
        <v>87.220802643041</v>
      </c>
      <c r="P15" s="3" t="n">
        <f aca="false">J15/L15</f>
        <v>29.7558973015457</v>
      </c>
      <c r="Q15" s="3" t="n">
        <f aca="false">J15/I15</f>
        <v>50.4792266666667</v>
      </c>
    </row>
    <row r="16" customFormat="false" ht="15" hidden="false" customHeight="false" outlineLevel="0" collapsed="false">
      <c r="A16" s="2" t="s">
        <v>76</v>
      </c>
      <c r="B16" s="2" t="s">
        <v>18</v>
      </c>
      <c r="C16" s="2" t="s">
        <v>19</v>
      </c>
      <c r="D16" s="2" t="s">
        <v>77</v>
      </c>
      <c r="E16" s="2" t="s">
        <v>32</v>
      </c>
      <c r="F16" s="2" t="s">
        <v>34</v>
      </c>
      <c r="G16" s="2" t="n">
        <v>32887</v>
      </c>
      <c r="H16" s="2" t="n">
        <v>921</v>
      </c>
      <c r="I16" s="2" t="n">
        <v>211</v>
      </c>
      <c r="J16" s="2" t="n">
        <v>68348.95</v>
      </c>
      <c r="K16" s="2" t="n">
        <v>232402.97</v>
      </c>
      <c r="L16" s="2" t="n">
        <v>271</v>
      </c>
      <c r="M16" s="2" t="n">
        <f aca="false">H16/G16*100</f>
        <v>2.8004986772889</v>
      </c>
      <c r="N16" s="2" t="n">
        <f aca="false">I16/H16*100</f>
        <v>22.9098805646037</v>
      </c>
      <c r="O16" s="2" t="n">
        <f aca="false">(K16-J16)/J16*100</f>
        <v>240.024199347613</v>
      </c>
      <c r="P16" s="2" t="n">
        <f aca="false">J16/L16</f>
        <v>252.210147601476</v>
      </c>
      <c r="Q16" s="2" t="n">
        <f aca="false">J16/I16</f>
        <v>323.928672985782</v>
      </c>
    </row>
    <row r="17" customFormat="false" ht="15" hidden="false" customHeight="false" outlineLevel="0" collapsed="false">
      <c r="A17" s="3" t="s">
        <v>78</v>
      </c>
      <c r="B17" s="3" t="s">
        <v>24</v>
      </c>
      <c r="C17" s="3" t="s">
        <v>25</v>
      </c>
      <c r="D17" s="3" t="s">
        <v>79</v>
      </c>
      <c r="E17" s="3" t="s">
        <v>80</v>
      </c>
      <c r="F17" s="3" t="s">
        <v>64</v>
      </c>
      <c r="G17" s="3" t="n">
        <v>63544</v>
      </c>
      <c r="H17" s="3" t="n">
        <v>4579</v>
      </c>
      <c r="I17" s="3" t="n">
        <v>803</v>
      </c>
      <c r="J17" s="3" t="n">
        <v>69236.35</v>
      </c>
      <c r="K17" s="3" t="n">
        <v>237482.18</v>
      </c>
      <c r="L17" s="3" t="n">
        <v>1311</v>
      </c>
      <c r="M17" s="3" t="n">
        <f aca="false">H17/G17*100</f>
        <v>7.20603046707793</v>
      </c>
      <c r="N17" s="3" t="n">
        <f aca="false">I17/H17*100</f>
        <v>17.5365800393099</v>
      </c>
      <c r="O17" s="3" t="n">
        <f aca="false">(K17-J17)/J17*100</f>
        <v>243.002165769859</v>
      </c>
      <c r="P17" s="3" t="n">
        <f aca="false">J17/L17</f>
        <v>52.8118611746758</v>
      </c>
      <c r="Q17" s="3" t="n">
        <f aca="false">J17/I17</f>
        <v>86.2221046077211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25</v>
      </c>
      <c r="D18" s="2" t="s">
        <v>83</v>
      </c>
      <c r="E18" s="2" t="s">
        <v>40</v>
      </c>
      <c r="F18" s="2" t="s">
        <v>64</v>
      </c>
      <c r="G18" s="2" t="n">
        <v>179000</v>
      </c>
      <c r="H18" s="2" t="n">
        <v>3964</v>
      </c>
      <c r="I18" s="2" t="n">
        <v>348</v>
      </c>
      <c r="J18" s="2" t="n">
        <v>19076.77</v>
      </c>
      <c r="K18" s="2" t="n">
        <v>58080.66</v>
      </c>
      <c r="L18" s="2" t="n">
        <v>650</v>
      </c>
      <c r="M18" s="2" t="n">
        <f aca="false">H18/G18*100</f>
        <v>2.2145251396648</v>
      </c>
      <c r="N18" s="2" t="n">
        <f aca="false">I18/H18*100</f>
        <v>8.77901109989909</v>
      </c>
      <c r="O18" s="2" t="n">
        <f aca="false">(K18-J18)/J18*100</f>
        <v>204.457515606678</v>
      </c>
      <c r="P18" s="2" t="n">
        <f aca="false">J18/L18</f>
        <v>29.3488769230769</v>
      </c>
      <c r="Q18" s="2" t="n">
        <f aca="false">J18/I18</f>
        <v>54.8183045977012</v>
      </c>
    </row>
    <row r="19" customFormat="false" ht="15" hidden="false" customHeight="false" outlineLevel="0" collapsed="false">
      <c r="A19" s="3" t="s">
        <v>84</v>
      </c>
      <c r="B19" s="3" t="s">
        <v>85</v>
      </c>
      <c r="C19" s="3" t="s">
        <v>25</v>
      </c>
      <c r="D19" s="3" t="s">
        <v>86</v>
      </c>
      <c r="E19" s="3" t="s">
        <v>87</v>
      </c>
      <c r="F19" s="3" t="s">
        <v>64</v>
      </c>
      <c r="G19" s="3" t="n">
        <v>181903</v>
      </c>
      <c r="H19" s="3" t="n">
        <v>15389</v>
      </c>
      <c r="I19" s="3" t="n">
        <v>1773</v>
      </c>
      <c r="J19" s="3" t="n">
        <v>124771.09</v>
      </c>
      <c r="K19" s="3" t="n">
        <v>349706.69</v>
      </c>
      <c r="L19" s="3" t="n">
        <v>3321</v>
      </c>
      <c r="M19" s="3" t="n">
        <f aca="false">H19/G19*100</f>
        <v>8.46000340840998</v>
      </c>
      <c r="N19" s="3" t="n">
        <f aca="false">I19/H19*100</f>
        <v>11.5212164533108</v>
      </c>
      <c r="O19" s="3" t="n">
        <f aca="false">(K19-J19)/J19*100</f>
        <v>180.278620632392</v>
      </c>
      <c r="P19" s="3" t="n">
        <f aca="false">J19/L19</f>
        <v>37.5703372478169</v>
      </c>
      <c r="Q19" s="3" t="n">
        <f aca="false">J19/I19</f>
        <v>70.3728652002256</v>
      </c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19</v>
      </c>
      <c r="D20" s="2" t="s">
        <v>90</v>
      </c>
      <c r="E20" s="2" t="s">
        <v>91</v>
      </c>
      <c r="F20" s="2" t="s">
        <v>64</v>
      </c>
      <c r="G20" s="2" t="n">
        <v>55019</v>
      </c>
      <c r="H20" s="2" t="n">
        <v>5442</v>
      </c>
      <c r="I20" s="2" t="n">
        <v>518</v>
      </c>
      <c r="J20" s="2" t="n">
        <v>83801.93</v>
      </c>
      <c r="K20" s="2" t="n">
        <v>156100.91</v>
      </c>
      <c r="L20" s="2" t="n">
        <v>971</v>
      </c>
      <c r="M20" s="2" t="n">
        <f aca="false">H20/G20*100</f>
        <v>9.89112851923881</v>
      </c>
      <c r="N20" s="2" t="n">
        <f aca="false">I20/H20*100</f>
        <v>9.51855935317898</v>
      </c>
      <c r="O20" s="2" t="n">
        <f aca="false">(K20-J20)/J20*100</f>
        <v>86.2736454876397</v>
      </c>
      <c r="P20" s="2" t="n">
        <f aca="false">J20/L20</f>
        <v>86.3047682801236</v>
      </c>
      <c r="Q20" s="2" t="n">
        <f aca="false">J20/I20</f>
        <v>161.779787644788</v>
      </c>
    </row>
    <row r="21" customFormat="false" ht="15" hidden="false" customHeight="false" outlineLevel="0" collapsed="false">
      <c r="A21" s="3" t="s">
        <v>92</v>
      </c>
      <c r="B21" s="3" t="s">
        <v>24</v>
      </c>
      <c r="C21" s="3" t="s">
        <v>25</v>
      </c>
      <c r="D21" s="3" t="s">
        <v>93</v>
      </c>
      <c r="E21" s="3" t="s">
        <v>94</v>
      </c>
      <c r="F21" s="3" t="s">
        <v>34</v>
      </c>
      <c r="G21" s="3" t="n">
        <v>172170</v>
      </c>
      <c r="H21" s="3" t="n">
        <v>19354</v>
      </c>
      <c r="I21" s="3" t="n">
        <v>3722</v>
      </c>
      <c r="J21" s="3" t="n">
        <v>67770.62</v>
      </c>
      <c r="K21" s="3" t="n">
        <v>233020.74</v>
      </c>
      <c r="L21" s="3" t="n">
        <v>6965</v>
      </c>
      <c r="M21" s="3" t="n">
        <f aca="false">H21/G21*100</f>
        <v>11.2412150781205</v>
      </c>
      <c r="N21" s="3" t="n">
        <f aca="false">I21/H21*100</f>
        <v>19.2311666838896</v>
      </c>
      <c r="O21" s="3" t="n">
        <f aca="false">(K21-J21)/J21*100</f>
        <v>243.837403287737</v>
      </c>
      <c r="P21" s="3" t="n">
        <f aca="false">J21/L21</f>
        <v>9.730167982771</v>
      </c>
      <c r="Q21" s="3" t="n">
        <f aca="false">J21/I21</f>
        <v>18.2081192907039</v>
      </c>
    </row>
    <row r="22" customFormat="false" ht="15" hidden="false" customHeight="false" outlineLevel="0" collapsed="false">
      <c r="A22" s="2" t="s">
        <v>95</v>
      </c>
      <c r="B22" s="2" t="s">
        <v>36</v>
      </c>
      <c r="C22" s="2" t="s">
        <v>19</v>
      </c>
      <c r="D22" s="2" t="s">
        <v>96</v>
      </c>
      <c r="E22" s="2" t="s">
        <v>62</v>
      </c>
      <c r="F22" s="2" t="s">
        <v>28</v>
      </c>
      <c r="G22" s="2" t="n">
        <v>40649</v>
      </c>
      <c r="H22" s="2" t="n">
        <v>980</v>
      </c>
      <c r="I22" s="2" t="n">
        <v>111</v>
      </c>
      <c r="J22" s="2" t="n">
        <v>38397.6</v>
      </c>
      <c r="K22" s="2" t="n">
        <v>69074.85</v>
      </c>
      <c r="L22" s="2" t="n">
        <v>149</v>
      </c>
      <c r="M22" s="2" t="n">
        <f aca="false">H22/G22*100</f>
        <v>2.41088341656621</v>
      </c>
      <c r="N22" s="2" t="n">
        <f aca="false">I22/H22*100</f>
        <v>11.3265306122449</v>
      </c>
      <c r="O22" s="2" t="n">
        <f aca="false">(K22-J22)/J22*100</f>
        <v>79.8936652290768</v>
      </c>
      <c r="P22" s="2" t="n">
        <f aca="false">J22/L22</f>
        <v>257.702013422819</v>
      </c>
      <c r="Q22" s="2" t="n">
        <f aca="false">J22/I22</f>
        <v>345.924324324324</v>
      </c>
    </row>
    <row r="23" customFormat="false" ht="15" hidden="false" customHeight="false" outlineLevel="0" collapsed="false">
      <c r="A23" s="3" t="s">
        <v>97</v>
      </c>
      <c r="B23" s="3" t="s">
        <v>98</v>
      </c>
      <c r="C23" s="3" t="s">
        <v>61</v>
      </c>
      <c r="D23" s="3" t="s">
        <v>99</v>
      </c>
      <c r="E23" s="3" t="s">
        <v>100</v>
      </c>
      <c r="F23" s="3" t="s">
        <v>34</v>
      </c>
      <c r="G23" s="3" t="n">
        <v>48782</v>
      </c>
      <c r="H23" s="3" t="n">
        <v>2794</v>
      </c>
      <c r="I23" s="3" t="n">
        <v>441</v>
      </c>
      <c r="J23" s="3" t="n">
        <v>45080.56</v>
      </c>
      <c r="K23" s="3" t="n">
        <v>85363.98</v>
      </c>
      <c r="L23" s="3" t="n">
        <v>853</v>
      </c>
      <c r="M23" s="3" t="n">
        <f aca="false">H23/G23*100</f>
        <v>5.72752244680415</v>
      </c>
      <c r="N23" s="3" t="n">
        <f aca="false">I23/H23*100</f>
        <v>15.7838224767359</v>
      </c>
      <c r="O23" s="3" t="n">
        <f aca="false">(K23-J23)/J23*100</f>
        <v>89.3587391106055</v>
      </c>
      <c r="P23" s="3" t="n">
        <f aca="false">J23/L23</f>
        <v>52.8494255568581</v>
      </c>
      <c r="Q23" s="3" t="n">
        <f aca="false">J23/I23</f>
        <v>102.223492063492</v>
      </c>
    </row>
    <row r="24" customFormat="false" ht="15" hidden="false" customHeight="false" outlineLevel="0" collapsed="false">
      <c r="A24" s="2" t="s">
        <v>101</v>
      </c>
      <c r="B24" s="2" t="s">
        <v>85</v>
      </c>
      <c r="C24" s="2" t="s">
        <v>25</v>
      </c>
      <c r="D24" s="2" t="s">
        <v>102</v>
      </c>
      <c r="E24" s="2" t="s">
        <v>103</v>
      </c>
      <c r="F24" s="2" t="s">
        <v>22</v>
      </c>
      <c r="G24" s="2" t="n">
        <v>50908</v>
      </c>
      <c r="H24" s="2" t="n">
        <v>1040</v>
      </c>
      <c r="I24" s="2" t="n">
        <v>205</v>
      </c>
      <c r="J24" s="2" t="n">
        <v>195486.19</v>
      </c>
      <c r="K24" s="2" t="n">
        <v>383533.25</v>
      </c>
      <c r="L24" s="2" t="n">
        <v>361</v>
      </c>
      <c r="M24" s="2" t="n">
        <f aca="false">H24/G24*100</f>
        <v>2.04290091930541</v>
      </c>
      <c r="N24" s="2" t="n">
        <f aca="false">I24/H24*100</f>
        <v>19.7115384615385</v>
      </c>
      <c r="O24" s="2" t="n">
        <f aca="false">(K24-J24)/J24*100</f>
        <v>96.1945495996418</v>
      </c>
      <c r="P24" s="2" t="n">
        <f aca="false">J24/L24</f>
        <v>541.512991689751</v>
      </c>
      <c r="Q24" s="2" t="n">
        <f aca="false">J24/I24</f>
        <v>953.591170731707</v>
      </c>
    </row>
    <row r="25" customFormat="false" ht="15" hidden="false" customHeight="false" outlineLevel="0" collapsed="false">
      <c r="A25" s="3" t="s">
        <v>104</v>
      </c>
      <c r="B25" s="3" t="s">
        <v>18</v>
      </c>
      <c r="C25" s="3" t="s">
        <v>19</v>
      </c>
      <c r="D25" s="3" t="s">
        <v>105</v>
      </c>
      <c r="E25" s="3" t="s">
        <v>106</v>
      </c>
      <c r="F25" s="3" t="s">
        <v>42</v>
      </c>
      <c r="G25" s="3" t="n">
        <v>98784</v>
      </c>
      <c r="H25" s="3" t="n">
        <v>8783</v>
      </c>
      <c r="I25" s="3" t="n">
        <v>1724</v>
      </c>
      <c r="J25" s="3" t="n">
        <v>181532.28</v>
      </c>
      <c r="K25" s="3" t="n">
        <v>276051.34</v>
      </c>
      <c r="L25" s="3" t="n">
        <v>2828</v>
      </c>
      <c r="M25" s="3" t="n">
        <f aca="false">H25/G25*100</f>
        <v>8.8911159701976</v>
      </c>
      <c r="N25" s="3" t="n">
        <f aca="false">I25/H25*100</f>
        <v>19.6288284185358</v>
      </c>
      <c r="O25" s="3" t="n">
        <f aca="false">(K25-J25)/J25*100</f>
        <v>52.0673568359303</v>
      </c>
      <c r="P25" s="3" t="n">
        <f aca="false">J25/L25</f>
        <v>64.1910466760962</v>
      </c>
      <c r="Q25" s="3" t="n">
        <f aca="false">J25/I25</f>
        <v>105.297146171694</v>
      </c>
    </row>
    <row r="26" customFormat="false" ht="15" hidden="false" customHeight="false" outlineLevel="0" collapsed="false">
      <c r="A26" s="2" t="s">
        <v>107</v>
      </c>
      <c r="B26" s="2" t="s">
        <v>18</v>
      </c>
      <c r="C26" s="2" t="s">
        <v>19</v>
      </c>
      <c r="D26" s="2" t="s">
        <v>108</v>
      </c>
      <c r="E26" s="2" t="s">
        <v>109</v>
      </c>
      <c r="F26" s="2" t="s">
        <v>28</v>
      </c>
      <c r="G26" s="2" t="n">
        <v>103688</v>
      </c>
      <c r="H26" s="2" t="n">
        <v>3032</v>
      </c>
      <c r="I26" s="2" t="n">
        <v>184</v>
      </c>
      <c r="J26" s="2" t="n">
        <v>133642.84</v>
      </c>
      <c r="K26" s="2" t="n">
        <v>339705.71</v>
      </c>
      <c r="L26" s="2" t="n">
        <v>253</v>
      </c>
      <c r="M26" s="2" t="n">
        <f aca="false">H26/G26*100</f>
        <v>2.92415708664455</v>
      </c>
      <c r="N26" s="2" t="n">
        <f aca="false">I26/H26*100</f>
        <v>6.06860158311346</v>
      </c>
      <c r="O26" s="2" t="n">
        <f aca="false">(K26-J26)/J26*100</f>
        <v>154.18923303336</v>
      </c>
      <c r="P26" s="2" t="n">
        <f aca="false">J26/L26</f>
        <v>528.232569169961</v>
      </c>
      <c r="Q26" s="2" t="n">
        <f aca="false">J26/I26</f>
        <v>726.319782608696</v>
      </c>
    </row>
    <row r="27" customFormat="false" ht="15" hidden="false" customHeight="false" outlineLevel="0" collapsed="false">
      <c r="A27" s="3" t="s">
        <v>110</v>
      </c>
      <c r="B27" s="3" t="s">
        <v>50</v>
      </c>
      <c r="C27" s="3" t="s">
        <v>31</v>
      </c>
      <c r="D27" s="3" t="s">
        <v>111</v>
      </c>
      <c r="E27" s="3" t="s">
        <v>112</v>
      </c>
      <c r="F27" s="3" t="s">
        <v>28</v>
      </c>
      <c r="G27" s="3" t="n">
        <v>187488</v>
      </c>
      <c r="H27" s="3" t="n">
        <v>16340</v>
      </c>
      <c r="I27" s="3" t="n">
        <v>1102</v>
      </c>
      <c r="J27" s="3" t="n">
        <v>109680.69</v>
      </c>
      <c r="K27" s="3" t="n">
        <v>180669.88</v>
      </c>
      <c r="L27" s="3" t="n">
        <v>1602</v>
      </c>
      <c r="M27" s="3" t="n">
        <f aca="false">H27/G27*100</f>
        <v>8.71522444103089</v>
      </c>
      <c r="N27" s="3" t="n">
        <f aca="false">I27/H27*100</f>
        <v>6.74418604651163</v>
      </c>
      <c r="O27" s="3" t="n">
        <f aca="false">(K27-J27)/J27*100</f>
        <v>64.7235078480998</v>
      </c>
      <c r="P27" s="3" t="n">
        <f aca="false">J27/L27</f>
        <v>68.4648501872659</v>
      </c>
      <c r="Q27" s="3" t="n">
        <f aca="false">J27/I27</f>
        <v>99.5287568058076</v>
      </c>
    </row>
    <row r="28" customFormat="false" ht="15" hidden="false" customHeight="false" outlineLevel="0" collapsed="false">
      <c r="A28" s="2" t="s">
        <v>113</v>
      </c>
      <c r="B28" s="2" t="s">
        <v>114</v>
      </c>
      <c r="C28" s="2" t="s">
        <v>61</v>
      </c>
      <c r="D28" s="2" t="s">
        <v>105</v>
      </c>
      <c r="E28" s="2" t="s">
        <v>115</v>
      </c>
      <c r="F28" s="2" t="s">
        <v>22</v>
      </c>
      <c r="G28" s="2" t="n">
        <v>48783</v>
      </c>
      <c r="H28" s="2" t="n">
        <v>4468</v>
      </c>
      <c r="I28" s="2" t="n">
        <v>605</v>
      </c>
      <c r="J28" s="2" t="n">
        <v>86430.83</v>
      </c>
      <c r="K28" s="2" t="n">
        <v>106140.41</v>
      </c>
      <c r="L28" s="2" t="n">
        <v>892</v>
      </c>
      <c r="M28" s="2" t="n">
        <f aca="false">H28/G28*100</f>
        <v>9.15892831519177</v>
      </c>
      <c r="N28" s="2" t="n">
        <f aca="false">I28/H28*100</f>
        <v>13.5407341092211</v>
      </c>
      <c r="O28" s="2" t="n">
        <f aca="false">(K28-J28)/J28*100</f>
        <v>22.803876811087</v>
      </c>
      <c r="P28" s="2" t="n">
        <f aca="false">J28/L28</f>
        <v>96.8955493273543</v>
      </c>
      <c r="Q28" s="2" t="n">
        <f aca="false">J28/I28</f>
        <v>142.860876033058</v>
      </c>
    </row>
    <row r="29" customFormat="false" ht="15" hidden="false" customHeight="false" outlineLevel="0" collapsed="false">
      <c r="A29" s="3" t="s">
        <v>116</v>
      </c>
      <c r="B29" s="3" t="s">
        <v>117</v>
      </c>
      <c r="C29" s="3" t="s">
        <v>31</v>
      </c>
      <c r="D29" s="3" t="s">
        <v>118</v>
      </c>
      <c r="E29" s="3" t="s">
        <v>119</v>
      </c>
      <c r="F29" s="3" t="s">
        <v>42</v>
      </c>
      <c r="G29" s="3" t="n">
        <v>126449</v>
      </c>
      <c r="H29" s="3" t="n">
        <v>11905</v>
      </c>
      <c r="I29" s="3" t="n">
        <v>1584</v>
      </c>
      <c r="J29" s="3" t="n">
        <v>96863.31</v>
      </c>
      <c r="K29" s="3" t="n">
        <v>152726.1</v>
      </c>
      <c r="L29" s="3" t="n">
        <v>2823</v>
      </c>
      <c r="M29" s="3" t="n">
        <f aca="false">H29/G29*100</f>
        <v>9.41486290915705</v>
      </c>
      <c r="N29" s="3" t="n">
        <f aca="false">I29/H29*100</f>
        <v>13.3053338933221</v>
      </c>
      <c r="O29" s="3" t="n">
        <f aca="false">(K29-J29)/J29*100</f>
        <v>57.6717747927466</v>
      </c>
      <c r="P29" s="3" t="n">
        <f aca="false">J29/L29</f>
        <v>34.3121891604676</v>
      </c>
      <c r="Q29" s="3" t="n">
        <f aca="false">J29/I29</f>
        <v>61.1510795454545</v>
      </c>
    </row>
    <row r="30" customFormat="false" ht="15" hidden="false" customHeight="false" outlineLevel="0" collapsed="false">
      <c r="A30" s="2" t="s">
        <v>120</v>
      </c>
      <c r="B30" s="2" t="s">
        <v>121</v>
      </c>
      <c r="C30" s="2" t="s">
        <v>19</v>
      </c>
      <c r="D30" s="2" t="s">
        <v>122</v>
      </c>
      <c r="E30" s="2" t="s">
        <v>123</v>
      </c>
      <c r="F30" s="2" t="s">
        <v>28</v>
      </c>
      <c r="G30" s="2" t="n">
        <v>47654</v>
      </c>
      <c r="H30" s="2" t="n">
        <v>1943</v>
      </c>
      <c r="I30" s="2" t="n">
        <v>281</v>
      </c>
      <c r="J30" s="2" t="n">
        <v>175492.28</v>
      </c>
      <c r="K30" s="2" t="n">
        <v>608829.79</v>
      </c>
      <c r="L30" s="2" t="n">
        <v>352</v>
      </c>
      <c r="M30" s="2" t="n">
        <f aca="false">H30/G30*100</f>
        <v>4.07730725647375</v>
      </c>
      <c r="N30" s="2" t="n">
        <f aca="false">I30/H30*100</f>
        <v>14.4621718991251</v>
      </c>
      <c r="O30" s="2" t="n">
        <f aca="false">(K30-J30)/J30*100</f>
        <v>246.926822080151</v>
      </c>
      <c r="P30" s="2" t="n">
        <f aca="false">J30/L30</f>
        <v>498.557613636364</v>
      </c>
      <c r="Q30" s="2" t="n">
        <f aca="false">J30/I30</f>
        <v>624.52768683274</v>
      </c>
    </row>
    <row r="31" customFormat="false" ht="15" hidden="false" customHeight="false" outlineLevel="0" collapsed="false">
      <c r="A31" s="3" t="s">
        <v>124</v>
      </c>
      <c r="B31" s="3" t="s">
        <v>50</v>
      </c>
      <c r="C31" s="3" t="s">
        <v>31</v>
      </c>
      <c r="D31" s="3" t="s">
        <v>125</v>
      </c>
      <c r="E31" s="3" t="s">
        <v>126</v>
      </c>
      <c r="F31" s="3" t="s">
        <v>34</v>
      </c>
      <c r="G31" s="3" t="n">
        <v>177459</v>
      </c>
      <c r="H31" s="3" t="n">
        <v>19776</v>
      </c>
      <c r="I31" s="3" t="n">
        <v>2628</v>
      </c>
      <c r="J31" s="3" t="n">
        <v>117825.56</v>
      </c>
      <c r="K31" s="3" t="n">
        <v>333866.75</v>
      </c>
      <c r="L31" s="3" t="n">
        <v>4741</v>
      </c>
      <c r="M31" s="3" t="n">
        <f aca="false">H31/G31*100</f>
        <v>11.1439825537166</v>
      </c>
      <c r="N31" s="3" t="n">
        <f aca="false">I31/H31*100</f>
        <v>13.2888349514563</v>
      </c>
      <c r="O31" s="3" t="n">
        <f aca="false">(K31-J31)/J31*100</f>
        <v>183.356811544117</v>
      </c>
      <c r="P31" s="3" t="n">
        <f aca="false">J31/L31</f>
        <v>24.85246994305</v>
      </c>
      <c r="Q31" s="3" t="n">
        <f aca="false">J31/I31</f>
        <v>44.8346879756469</v>
      </c>
    </row>
    <row r="32" customFormat="false" ht="15" hidden="false" customHeight="false" outlineLevel="0" collapsed="false">
      <c r="A32" s="2" t="s">
        <v>127</v>
      </c>
      <c r="B32" s="2" t="s">
        <v>85</v>
      </c>
      <c r="C32" s="2" t="s">
        <v>25</v>
      </c>
      <c r="D32" s="2" t="s">
        <v>128</v>
      </c>
      <c r="E32" s="2" t="s">
        <v>38</v>
      </c>
      <c r="F32" s="2" t="s">
        <v>28</v>
      </c>
      <c r="G32" s="2" t="n">
        <v>155192</v>
      </c>
      <c r="H32" s="2" t="n">
        <v>10717</v>
      </c>
      <c r="I32" s="2" t="n">
        <v>2299</v>
      </c>
      <c r="J32" s="2" t="n">
        <v>70868.69</v>
      </c>
      <c r="K32" s="2" t="n">
        <v>180430.2</v>
      </c>
      <c r="L32" s="2" t="n">
        <v>3667</v>
      </c>
      <c r="M32" s="2" t="n">
        <f aca="false">H32/G32*100</f>
        <v>6.90563946595185</v>
      </c>
      <c r="N32" s="2" t="n">
        <f aca="false">I32/H32*100</f>
        <v>21.4518988522908</v>
      </c>
      <c r="O32" s="2" t="n">
        <f aca="false">(K32-J32)/J32*100</f>
        <v>154.597904942225</v>
      </c>
      <c r="P32" s="2" t="n">
        <f aca="false">J32/L32</f>
        <v>19.3260676302154</v>
      </c>
      <c r="Q32" s="2" t="n">
        <f aca="false">J32/I32</f>
        <v>30.8258764680296</v>
      </c>
    </row>
    <row r="33" customFormat="false" ht="15" hidden="false" customHeight="false" outlineLevel="0" collapsed="false">
      <c r="A33" s="3" t="s">
        <v>129</v>
      </c>
      <c r="B33" s="3" t="s">
        <v>117</v>
      </c>
      <c r="C33" s="3" t="s">
        <v>31</v>
      </c>
      <c r="D33" s="3" t="s">
        <v>130</v>
      </c>
      <c r="E33" s="3" t="s">
        <v>131</v>
      </c>
      <c r="F33" s="3" t="s">
        <v>34</v>
      </c>
      <c r="G33" s="3" t="n">
        <v>78859</v>
      </c>
      <c r="H33" s="3" t="n">
        <v>3944</v>
      </c>
      <c r="I33" s="3" t="n">
        <v>702</v>
      </c>
      <c r="J33" s="3" t="n">
        <v>132763.75</v>
      </c>
      <c r="K33" s="3" t="n">
        <v>197234.75</v>
      </c>
      <c r="L33" s="3" t="n">
        <v>1216</v>
      </c>
      <c r="M33" s="3" t="n">
        <f aca="false">H33/G33*100</f>
        <v>5.00133149038157</v>
      </c>
      <c r="N33" s="3" t="n">
        <f aca="false">I33/H33*100</f>
        <v>17.7991886409736</v>
      </c>
      <c r="O33" s="3" t="n">
        <f aca="false">(K33-J33)/J33*100</f>
        <v>48.5606952198925</v>
      </c>
      <c r="P33" s="3" t="n">
        <f aca="false">J33/L33</f>
        <v>109.180715460526</v>
      </c>
      <c r="Q33" s="3" t="n">
        <f aca="false">J33/I33</f>
        <v>189.122150997151</v>
      </c>
    </row>
    <row r="34" customFormat="false" ht="15" hidden="false" customHeight="false" outlineLevel="0" collapsed="false">
      <c r="A34" s="2" t="s">
        <v>132</v>
      </c>
      <c r="B34" s="2" t="s">
        <v>24</v>
      </c>
      <c r="C34" s="2" t="s">
        <v>25</v>
      </c>
      <c r="D34" s="2" t="s">
        <v>133</v>
      </c>
      <c r="E34" s="2" t="s">
        <v>134</v>
      </c>
      <c r="F34" s="2" t="s">
        <v>22</v>
      </c>
      <c r="G34" s="2" t="n">
        <v>17456</v>
      </c>
      <c r="H34" s="2" t="n">
        <v>557</v>
      </c>
      <c r="I34" s="2" t="n">
        <v>58</v>
      </c>
      <c r="J34" s="2" t="n">
        <v>198951.6</v>
      </c>
      <c r="K34" s="2" t="n">
        <v>269274.45</v>
      </c>
      <c r="L34" s="2" t="n">
        <v>104</v>
      </c>
      <c r="M34" s="2" t="n">
        <f aca="false">H34/G34*100</f>
        <v>3.19087992667278</v>
      </c>
      <c r="N34" s="2" t="n">
        <f aca="false">I34/H34*100</f>
        <v>10.4129263913824</v>
      </c>
      <c r="O34" s="2" t="n">
        <f aca="false">(K34-J34)/J34*100</f>
        <v>35.3467124667507</v>
      </c>
      <c r="P34" s="2" t="n">
        <f aca="false">J34/L34</f>
        <v>1912.99615384615</v>
      </c>
      <c r="Q34" s="2" t="n">
        <f aca="false">J34/I34</f>
        <v>3430.2</v>
      </c>
    </row>
    <row r="35" customFormat="false" ht="15" hidden="false" customHeight="false" outlineLevel="0" collapsed="false">
      <c r="A35" s="3" t="s">
        <v>135</v>
      </c>
      <c r="B35" s="3" t="s">
        <v>85</v>
      </c>
      <c r="C35" s="3" t="s">
        <v>25</v>
      </c>
      <c r="D35" s="3" t="s">
        <v>136</v>
      </c>
      <c r="E35" s="3" t="s">
        <v>137</v>
      </c>
      <c r="F35" s="3" t="s">
        <v>34</v>
      </c>
      <c r="G35" s="3" t="n">
        <v>174625</v>
      </c>
      <c r="H35" s="3" t="n">
        <v>15470</v>
      </c>
      <c r="I35" s="3" t="n">
        <v>3787</v>
      </c>
      <c r="J35" s="3" t="n">
        <v>166381.95</v>
      </c>
      <c r="K35" s="3" t="n">
        <v>342474.8</v>
      </c>
      <c r="L35" s="3" t="n">
        <v>6764</v>
      </c>
      <c r="M35" s="3" t="n">
        <f aca="false">H35/G35*100</f>
        <v>8.85898353614889</v>
      </c>
      <c r="N35" s="3" t="n">
        <f aca="false">I35/H35*100</f>
        <v>24.4796380090498</v>
      </c>
      <c r="O35" s="3" t="n">
        <f aca="false">(K35-J35)/J35*100</f>
        <v>105.836510510906</v>
      </c>
      <c r="P35" s="3" t="n">
        <f aca="false">J35/L35</f>
        <v>24.598159373152</v>
      </c>
      <c r="Q35" s="3" t="n">
        <f aca="false">J35/I35</f>
        <v>43.9350277264325</v>
      </c>
    </row>
    <row r="36" customFormat="false" ht="15" hidden="false" customHeight="false" outlineLevel="0" collapsed="false">
      <c r="A36" s="2" t="s">
        <v>138</v>
      </c>
      <c r="B36" s="2" t="s">
        <v>117</v>
      </c>
      <c r="C36" s="2" t="s">
        <v>31</v>
      </c>
      <c r="D36" s="2" t="s">
        <v>139</v>
      </c>
      <c r="E36" s="2" t="s">
        <v>140</v>
      </c>
      <c r="F36" s="2" t="s">
        <v>28</v>
      </c>
      <c r="G36" s="2" t="n">
        <v>93802</v>
      </c>
      <c r="H36" s="2" t="n">
        <v>6200</v>
      </c>
      <c r="I36" s="2" t="n">
        <v>1169</v>
      </c>
      <c r="J36" s="2" t="n">
        <v>81116.31</v>
      </c>
      <c r="K36" s="2" t="n">
        <v>107206.82</v>
      </c>
      <c r="L36" s="2" t="n">
        <v>1740</v>
      </c>
      <c r="M36" s="2" t="n">
        <f aca="false">H36/G36*100</f>
        <v>6.60966717127567</v>
      </c>
      <c r="N36" s="2" t="n">
        <f aca="false">I36/H36*100</f>
        <v>18.8548387096774</v>
      </c>
      <c r="O36" s="2" t="n">
        <f aca="false">(K36-J36)/J36*100</f>
        <v>32.1643205910131</v>
      </c>
      <c r="P36" s="2" t="n">
        <f aca="false">J36/L36</f>
        <v>46.6185689655172</v>
      </c>
      <c r="Q36" s="2" t="n">
        <f aca="false">J36/I36</f>
        <v>69.3894867408041</v>
      </c>
    </row>
    <row r="37" customFormat="false" ht="15" hidden="false" customHeight="false" outlineLevel="0" collapsed="false">
      <c r="A37" s="3" t="s">
        <v>141</v>
      </c>
      <c r="B37" s="3" t="s">
        <v>98</v>
      </c>
      <c r="C37" s="3" t="s">
        <v>61</v>
      </c>
      <c r="D37" s="3" t="s">
        <v>142</v>
      </c>
      <c r="E37" s="3" t="s">
        <v>143</v>
      </c>
      <c r="F37" s="3" t="s">
        <v>22</v>
      </c>
      <c r="G37" s="3" t="n">
        <v>148834</v>
      </c>
      <c r="H37" s="3" t="n">
        <v>12486</v>
      </c>
      <c r="I37" s="3" t="n">
        <v>816</v>
      </c>
      <c r="J37" s="3" t="n">
        <v>50855.74</v>
      </c>
      <c r="K37" s="3" t="n">
        <v>134486.42</v>
      </c>
      <c r="L37" s="3" t="n">
        <v>1478</v>
      </c>
      <c r="M37" s="3" t="n">
        <f aca="false">H37/G37*100</f>
        <v>8.38921214238682</v>
      </c>
      <c r="N37" s="3" t="n">
        <f aca="false">I37/H37*100</f>
        <v>6.53531955790485</v>
      </c>
      <c r="O37" s="3" t="n">
        <f aca="false">(K37-J37)/J37*100</f>
        <v>164.446884461813</v>
      </c>
      <c r="P37" s="3" t="n">
        <f aca="false">J37/L37</f>
        <v>34.4084844384303</v>
      </c>
      <c r="Q37" s="3" t="n">
        <f aca="false">J37/I37</f>
        <v>62.3232107843137</v>
      </c>
    </row>
    <row r="38" customFormat="false" ht="15" hidden="false" customHeight="false" outlineLevel="0" collapsed="false">
      <c r="A38" s="2" t="s">
        <v>144</v>
      </c>
      <c r="B38" s="2" t="s">
        <v>98</v>
      </c>
      <c r="C38" s="2" t="s">
        <v>61</v>
      </c>
      <c r="D38" s="2" t="s">
        <v>145</v>
      </c>
      <c r="E38" s="2" t="s">
        <v>146</v>
      </c>
      <c r="F38" s="2" t="s">
        <v>28</v>
      </c>
      <c r="G38" s="2" t="n">
        <v>189560</v>
      </c>
      <c r="H38" s="2" t="n">
        <v>18953</v>
      </c>
      <c r="I38" s="2" t="n">
        <v>1976</v>
      </c>
      <c r="J38" s="2" t="n">
        <v>144123.99</v>
      </c>
      <c r="K38" s="2" t="n">
        <v>293119.68</v>
      </c>
      <c r="L38" s="2" t="n">
        <v>3216</v>
      </c>
      <c r="M38" s="2" t="n">
        <f aca="false">H38/G38*100</f>
        <v>9.99841738763452</v>
      </c>
      <c r="N38" s="2" t="n">
        <f aca="false">I38/H38*100</f>
        <v>10.4257901123833</v>
      </c>
      <c r="O38" s="2" t="n">
        <f aca="false">(K38-J38)/J38*100</f>
        <v>103.380214494478</v>
      </c>
      <c r="P38" s="2" t="n">
        <f aca="false">J38/L38</f>
        <v>44.8146735074627</v>
      </c>
      <c r="Q38" s="2" t="n">
        <f aca="false">J38/I38</f>
        <v>72.937241902834</v>
      </c>
    </row>
    <row r="39" customFormat="false" ht="15" hidden="false" customHeight="false" outlineLevel="0" collapsed="false">
      <c r="A39" s="3" t="s">
        <v>147</v>
      </c>
      <c r="B39" s="3" t="s">
        <v>89</v>
      </c>
      <c r="C39" s="3" t="s">
        <v>19</v>
      </c>
      <c r="D39" s="3" t="s">
        <v>148</v>
      </c>
      <c r="E39" s="3" t="s">
        <v>149</v>
      </c>
      <c r="F39" s="3" t="s">
        <v>34</v>
      </c>
      <c r="G39" s="3" t="n">
        <v>107783</v>
      </c>
      <c r="H39" s="3" t="n">
        <v>10549</v>
      </c>
      <c r="I39" s="3" t="n">
        <v>1396</v>
      </c>
      <c r="J39" s="3" t="n">
        <v>185367.86</v>
      </c>
      <c r="K39" s="3" t="n">
        <v>291948.27</v>
      </c>
      <c r="L39" s="3" t="n">
        <v>1918</v>
      </c>
      <c r="M39" s="3" t="n">
        <f aca="false">H39/G39*100</f>
        <v>9.78725773081098</v>
      </c>
      <c r="N39" s="3" t="n">
        <f aca="false">I39/H39*100</f>
        <v>13.2334818466205</v>
      </c>
      <c r="O39" s="3" t="n">
        <f aca="false">(K39-J39)/J39*100</f>
        <v>57.4967041211999</v>
      </c>
      <c r="P39" s="3" t="n">
        <f aca="false">J39/L39</f>
        <v>96.6464337851929</v>
      </c>
      <c r="Q39" s="3" t="n">
        <f aca="false">J39/I39</f>
        <v>132.785</v>
      </c>
    </row>
    <row r="40" customFormat="false" ht="15" hidden="false" customHeight="false" outlineLevel="0" collapsed="false">
      <c r="A40" s="2" t="s">
        <v>150</v>
      </c>
      <c r="B40" s="2" t="s">
        <v>50</v>
      </c>
      <c r="C40" s="2" t="s">
        <v>31</v>
      </c>
      <c r="D40" s="2" t="s">
        <v>54</v>
      </c>
      <c r="E40" s="2" t="s">
        <v>151</v>
      </c>
      <c r="F40" s="2" t="s">
        <v>34</v>
      </c>
      <c r="G40" s="2" t="n">
        <v>130715</v>
      </c>
      <c r="H40" s="2" t="n">
        <v>14588</v>
      </c>
      <c r="I40" s="2" t="n">
        <v>1069</v>
      </c>
      <c r="J40" s="2" t="n">
        <v>39277.95</v>
      </c>
      <c r="K40" s="2" t="n">
        <v>48703.58</v>
      </c>
      <c r="L40" s="2" t="n">
        <v>1580</v>
      </c>
      <c r="M40" s="2" t="n">
        <f aca="false">H40/G40*100</f>
        <v>11.1601575947672</v>
      </c>
      <c r="N40" s="2" t="n">
        <f aca="false">I40/H40*100</f>
        <v>7.32794077323828</v>
      </c>
      <c r="O40" s="2" t="n">
        <f aca="false">(K40-J40)/J40*100</f>
        <v>23.9972554575786</v>
      </c>
      <c r="P40" s="2" t="n">
        <f aca="false">J40/L40</f>
        <v>24.8594620253165</v>
      </c>
      <c r="Q40" s="2" t="n">
        <f aca="false">J40/I40</f>
        <v>36.7427034611787</v>
      </c>
    </row>
    <row r="41" customFormat="false" ht="15" hidden="false" customHeight="false" outlineLevel="0" collapsed="false">
      <c r="A41" s="3" t="s">
        <v>152</v>
      </c>
      <c r="B41" s="3" t="s">
        <v>85</v>
      </c>
      <c r="C41" s="3" t="s">
        <v>25</v>
      </c>
      <c r="D41" s="3" t="s">
        <v>153</v>
      </c>
      <c r="E41" s="3" t="s">
        <v>154</v>
      </c>
      <c r="F41" s="3" t="s">
        <v>34</v>
      </c>
      <c r="G41" s="3" t="n">
        <v>55143</v>
      </c>
      <c r="H41" s="3" t="n">
        <v>5017</v>
      </c>
      <c r="I41" s="3" t="n">
        <v>279</v>
      </c>
      <c r="J41" s="3" t="n">
        <v>165696.21</v>
      </c>
      <c r="K41" s="3" t="n">
        <v>283576.31</v>
      </c>
      <c r="L41" s="3" t="n">
        <v>526</v>
      </c>
      <c r="M41" s="3" t="n">
        <f aca="false">H41/G41*100</f>
        <v>9.09816295812705</v>
      </c>
      <c r="N41" s="3" t="n">
        <f aca="false">I41/H41*100</f>
        <v>5.56109228622683</v>
      </c>
      <c r="O41" s="3" t="n">
        <f aca="false">(K41-J41)/J41*100</f>
        <v>71.1423031341514</v>
      </c>
      <c r="P41" s="3" t="n">
        <f aca="false">J41/L41</f>
        <v>315.01180608365</v>
      </c>
      <c r="Q41" s="3" t="n">
        <f aca="false">J41/I41</f>
        <v>593.893225806452</v>
      </c>
    </row>
    <row r="42" customFormat="false" ht="15" hidden="false" customHeight="false" outlineLevel="0" collapsed="false">
      <c r="A42" s="2" t="s">
        <v>155</v>
      </c>
      <c r="B42" s="2" t="s">
        <v>66</v>
      </c>
      <c r="C42" s="2" t="s">
        <v>61</v>
      </c>
      <c r="D42" s="2" t="s">
        <v>119</v>
      </c>
      <c r="E42" s="2" t="s">
        <v>156</v>
      </c>
      <c r="F42" s="2" t="s">
        <v>28</v>
      </c>
      <c r="G42" s="2" t="n">
        <v>65008</v>
      </c>
      <c r="H42" s="2" t="n">
        <v>2146</v>
      </c>
      <c r="I42" s="2" t="n">
        <v>141</v>
      </c>
      <c r="J42" s="2" t="n">
        <v>142801.36</v>
      </c>
      <c r="K42" s="2" t="n">
        <v>428870.81</v>
      </c>
      <c r="L42" s="2" t="n">
        <v>177</v>
      </c>
      <c r="M42" s="2" t="n">
        <f aca="false">H42/G42*100</f>
        <v>3.30113216834851</v>
      </c>
      <c r="N42" s="2" t="n">
        <f aca="false">I42/H42*100</f>
        <v>6.57036346691519</v>
      </c>
      <c r="O42" s="2" t="n">
        <f aca="false">(K42-J42)/J42*100</f>
        <v>200.326838623946</v>
      </c>
      <c r="P42" s="2" t="n">
        <f aca="false">J42/L42</f>
        <v>806.787344632768</v>
      </c>
      <c r="Q42" s="2" t="n">
        <f aca="false">J42/I42</f>
        <v>1012.77560283688</v>
      </c>
    </row>
    <row r="43" customFormat="false" ht="15" hidden="false" customHeight="false" outlineLevel="0" collapsed="false">
      <c r="A43" s="3" t="s">
        <v>157</v>
      </c>
      <c r="B43" s="3" t="s">
        <v>121</v>
      </c>
      <c r="C43" s="3" t="s">
        <v>19</v>
      </c>
      <c r="D43" s="3" t="s">
        <v>158</v>
      </c>
      <c r="E43" s="3" t="s">
        <v>159</v>
      </c>
      <c r="F43" s="3" t="s">
        <v>28</v>
      </c>
      <c r="G43" s="3" t="n">
        <v>18596</v>
      </c>
      <c r="H43" s="3" t="n">
        <v>1846</v>
      </c>
      <c r="I43" s="3" t="n">
        <v>281</v>
      </c>
      <c r="J43" s="3" t="n">
        <v>25964.07</v>
      </c>
      <c r="K43" s="3" t="n">
        <v>38258.61</v>
      </c>
      <c r="L43" s="3" t="n">
        <v>394</v>
      </c>
      <c r="M43" s="3" t="n">
        <f aca="false">H43/G43*100</f>
        <v>9.9268659926866</v>
      </c>
      <c r="N43" s="3" t="n">
        <f aca="false">I43/H43*100</f>
        <v>15.2221018418202</v>
      </c>
      <c r="O43" s="3" t="n">
        <f aca="false">(K43-J43)/J43*100</f>
        <v>47.3521293079244</v>
      </c>
      <c r="P43" s="3" t="n">
        <f aca="false">J43/L43</f>
        <v>65.898654822335</v>
      </c>
      <c r="Q43" s="3" t="n">
        <f aca="false">J43/I43</f>
        <v>92.3988256227758</v>
      </c>
    </row>
    <row r="44" customFormat="false" ht="15" hidden="false" customHeight="false" outlineLevel="0" collapsed="false">
      <c r="A44" s="2" t="s">
        <v>160</v>
      </c>
      <c r="B44" s="2" t="s">
        <v>44</v>
      </c>
      <c r="C44" s="2" t="s">
        <v>31</v>
      </c>
      <c r="D44" s="2" t="s">
        <v>108</v>
      </c>
      <c r="E44" s="2" t="s">
        <v>131</v>
      </c>
      <c r="F44" s="2" t="s">
        <v>64</v>
      </c>
      <c r="G44" s="2" t="n">
        <v>167756</v>
      </c>
      <c r="H44" s="2" t="n">
        <v>6800</v>
      </c>
      <c r="I44" s="2" t="n">
        <v>1565</v>
      </c>
      <c r="J44" s="2" t="n">
        <v>49184.64</v>
      </c>
      <c r="K44" s="2" t="n">
        <v>98788.7</v>
      </c>
      <c r="L44" s="2" t="n">
        <v>1991</v>
      </c>
      <c r="M44" s="2" t="n">
        <f aca="false">H44/G44*100</f>
        <v>4.05350628293474</v>
      </c>
      <c r="N44" s="2" t="n">
        <f aca="false">I44/H44*100</f>
        <v>23.0147058823529</v>
      </c>
      <c r="O44" s="2" t="n">
        <f aca="false">(K44-J44)/J44*100</f>
        <v>100.852745897906</v>
      </c>
      <c r="P44" s="2" t="n">
        <f aca="false">J44/L44</f>
        <v>24.7034856855851</v>
      </c>
      <c r="Q44" s="2" t="n">
        <f aca="false">J44/I44</f>
        <v>31.4278849840256</v>
      </c>
    </row>
    <row r="45" customFormat="false" ht="15" hidden="false" customHeight="false" outlineLevel="0" collapsed="false">
      <c r="A45" s="3" t="s">
        <v>161</v>
      </c>
      <c r="B45" s="3" t="s">
        <v>66</v>
      </c>
      <c r="C45" s="3" t="s">
        <v>61</v>
      </c>
      <c r="D45" s="3" t="s">
        <v>162</v>
      </c>
      <c r="E45" s="3" t="s">
        <v>163</v>
      </c>
      <c r="F45" s="3" t="s">
        <v>34</v>
      </c>
      <c r="G45" s="3" t="n">
        <v>141238</v>
      </c>
      <c r="H45" s="3" t="n">
        <v>13852</v>
      </c>
      <c r="I45" s="3" t="n">
        <v>2390</v>
      </c>
      <c r="J45" s="3" t="n">
        <v>108408.21</v>
      </c>
      <c r="K45" s="3" t="n">
        <v>147128.93</v>
      </c>
      <c r="L45" s="3" t="n">
        <v>4435</v>
      </c>
      <c r="M45" s="3" t="n">
        <f aca="false">H45/G45*100</f>
        <v>9.80755887225817</v>
      </c>
      <c r="N45" s="3" t="n">
        <f aca="false">I45/H45*100</f>
        <v>17.253826162287</v>
      </c>
      <c r="O45" s="3" t="n">
        <f aca="false">(K45-J45)/J45*100</f>
        <v>35.7175162287063</v>
      </c>
      <c r="P45" s="3" t="n">
        <f aca="false">J45/L45</f>
        <v>24.4437903043968</v>
      </c>
      <c r="Q45" s="3" t="n">
        <f aca="false">J45/I45</f>
        <v>45.3590836820084</v>
      </c>
    </row>
    <row r="46" customFormat="false" ht="15" hidden="false" customHeight="false" outlineLevel="0" collapsed="false">
      <c r="A46" s="2" t="s">
        <v>164</v>
      </c>
      <c r="B46" s="2" t="s">
        <v>89</v>
      </c>
      <c r="C46" s="2" t="s">
        <v>19</v>
      </c>
      <c r="D46" s="2" t="s">
        <v>103</v>
      </c>
      <c r="E46" s="2" t="s">
        <v>96</v>
      </c>
      <c r="F46" s="2" t="s">
        <v>42</v>
      </c>
      <c r="G46" s="2" t="n">
        <v>55029</v>
      </c>
      <c r="H46" s="2" t="n">
        <v>6062</v>
      </c>
      <c r="I46" s="2" t="n">
        <v>954</v>
      </c>
      <c r="J46" s="2" t="n">
        <v>195112.28</v>
      </c>
      <c r="K46" s="2" t="n">
        <v>278420.77</v>
      </c>
      <c r="L46" s="2" t="n">
        <v>1308</v>
      </c>
      <c r="M46" s="2" t="n">
        <f aca="false">H46/G46*100</f>
        <v>11.0160097403187</v>
      </c>
      <c r="N46" s="2" t="n">
        <f aca="false">I46/H46*100</f>
        <v>15.7373804025074</v>
      </c>
      <c r="O46" s="2" t="n">
        <f aca="false">(K46-J46)/J46*100</f>
        <v>42.6977174373648</v>
      </c>
      <c r="P46" s="2" t="n">
        <f aca="false">J46/L46</f>
        <v>149.168409785933</v>
      </c>
      <c r="Q46" s="2" t="n">
        <f aca="false">J46/I46</f>
        <v>204.520209643606</v>
      </c>
    </row>
    <row r="47" customFormat="false" ht="15" hidden="false" customHeight="false" outlineLevel="0" collapsed="false">
      <c r="A47" s="3" t="s">
        <v>165</v>
      </c>
      <c r="B47" s="3" t="s">
        <v>66</v>
      </c>
      <c r="C47" s="3" t="s">
        <v>61</v>
      </c>
      <c r="D47" s="3" t="s">
        <v>166</v>
      </c>
      <c r="E47" s="3" t="s">
        <v>167</v>
      </c>
      <c r="F47" s="3" t="s">
        <v>42</v>
      </c>
      <c r="G47" s="3" t="n">
        <v>125255</v>
      </c>
      <c r="H47" s="3" t="n">
        <v>10941</v>
      </c>
      <c r="I47" s="3" t="n">
        <v>781</v>
      </c>
      <c r="J47" s="3" t="n">
        <v>169427.3</v>
      </c>
      <c r="K47" s="3" t="n">
        <v>585708.92</v>
      </c>
      <c r="L47" s="3" t="n">
        <v>1202</v>
      </c>
      <c r="M47" s="3" t="n">
        <f aca="false">H47/G47*100</f>
        <v>8.73498063949543</v>
      </c>
      <c r="N47" s="3" t="n">
        <f aca="false">I47/H47*100</f>
        <v>7.13828717667489</v>
      </c>
      <c r="O47" s="3" t="n">
        <f aca="false">(K47-J47)/J47*100</f>
        <v>245.699258620069</v>
      </c>
      <c r="P47" s="3" t="n">
        <f aca="false">J47/L47</f>
        <v>140.954492512479</v>
      </c>
      <c r="Q47" s="3" t="n">
        <f aca="false">J47/I47</f>
        <v>216.936363636364</v>
      </c>
    </row>
    <row r="48" customFormat="false" ht="15" hidden="false" customHeight="false" outlineLevel="0" collapsed="false">
      <c r="A48" s="2" t="s">
        <v>168</v>
      </c>
      <c r="B48" s="2" t="s">
        <v>30</v>
      </c>
      <c r="C48" s="2" t="s">
        <v>31</v>
      </c>
      <c r="D48" s="2" t="s">
        <v>169</v>
      </c>
      <c r="E48" s="2" t="s">
        <v>170</v>
      </c>
      <c r="F48" s="2" t="s">
        <v>64</v>
      </c>
      <c r="G48" s="2" t="n">
        <v>42405</v>
      </c>
      <c r="H48" s="2" t="n">
        <v>2823</v>
      </c>
      <c r="I48" s="2" t="n">
        <v>434</v>
      </c>
      <c r="J48" s="2" t="n">
        <v>106725.96</v>
      </c>
      <c r="K48" s="2" t="n">
        <v>216747.2</v>
      </c>
      <c r="L48" s="2" t="n">
        <v>620</v>
      </c>
      <c r="M48" s="2" t="n">
        <f aca="false">H48/G48*100</f>
        <v>6.65723381676689</v>
      </c>
      <c r="N48" s="2" t="n">
        <f aca="false">I48/H48*100</f>
        <v>15.3737159050655</v>
      </c>
      <c r="O48" s="2" t="n">
        <f aca="false">(K48-J48)/J48*100</f>
        <v>103.087608675527</v>
      </c>
      <c r="P48" s="2" t="n">
        <f aca="false">J48/L48</f>
        <v>172.13864516129</v>
      </c>
      <c r="Q48" s="2" t="n">
        <f aca="false">J48/I48</f>
        <v>245.912350230415</v>
      </c>
    </row>
    <row r="49" customFormat="false" ht="15" hidden="false" customHeight="false" outlineLevel="0" collapsed="false">
      <c r="A49" s="3" t="s">
        <v>171</v>
      </c>
      <c r="B49" s="3" t="s">
        <v>73</v>
      </c>
      <c r="C49" s="3" t="s">
        <v>25</v>
      </c>
      <c r="D49" s="3" t="s">
        <v>172</v>
      </c>
      <c r="E49" s="3" t="s">
        <v>173</v>
      </c>
      <c r="F49" s="3" t="s">
        <v>64</v>
      </c>
      <c r="G49" s="3" t="n">
        <v>110868</v>
      </c>
      <c r="H49" s="3" t="n">
        <v>5361</v>
      </c>
      <c r="I49" s="3" t="n">
        <v>911</v>
      </c>
      <c r="J49" s="3" t="n">
        <v>72721.28</v>
      </c>
      <c r="K49" s="3" t="n">
        <v>250540.21</v>
      </c>
      <c r="L49" s="3" t="n">
        <v>1416</v>
      </c>
      <c r="M49" s="3" t="n">
        <f aca="false">H49/G49*100</f>
        <v>4.83548003030631</v>
      </c>
      <c r="N49" s="3" t="n">
        <f aca="false">I49/H49*100</f>
        <v>16.9930983025555</v>
      </c>
      <c r="O49" s="3" t="n">
        <f aca="false">(K49-J49)/J49*100</f>
        <v>244.521177295009</v>
      </c>
      <c r="P49" s="3" t="n">
        <f aca="false">J49/L49</f>
        <v>51.3568361581921</v>
      </c>
      <c r="Q49" s="3" t="n">
        <f aca="false">J49/I49</f>
        <v>79.8257738748628</v>
      </c>
    </row>
    <row r="50" customFormat="false" ht="15" hidden="false" customHeight="false" outlineLevel="0" collapsed="false">
      <c r="A50" s="2" t="s">
        <v>174</v>
      </c>
      <c r="B50" s="2" t="s">
        <v>24</v>
      </c>
      <c r="C50" s="2" t="s">
        <v>25</v>
      </c>
      <c r="D50" s="2" t="s">
        <v>175</v>
      </c>
      <c r="E50" s="2" t="s">
        <v>176</v>
      </c>
      <c r="F50" s="2" t="s">
        <v>28</v>
      </c>
      <c r="G50" s="2" t="n">
        <v>28247</v>
      </c>
      <c r="H50" s="2" t="n">
        <v>3092</v>
      </c>
      <c r="I50" s="2" t="n">
        <v>650</v>
      </c>
      <c r="J50" s="2" t="n">
        <v>188730.17</v>
      </c>
      <c r="K50" s="2" t="n">
        <v>385974.94</v>
      </c>
      <c r="L50" s="2" t="n">
        <v>786</v>
      </c>
      <c r="M50" s="2" t="n">
        <f aca="false">H50/G50*100</f>
        <v>10.9462951817892</v>
      </c>
      <c r="N50" s="2" t="n">
        <f aca="false">I50/H50*100</f>
        <v>21.0219922380336</v>
      </c>
      <c r="O50" s="2" t="n">
        <f aca="false">(K50-J50)/J50*100</f>
        <v>104.51152033615</v>
      </c>
      <c r="P50" s="2" t="n">
        <f aca="false">J50/L50</f>
        <v>240.114720101781</v>
      </c>
      <c r="Q50" s="2" t="n">
        <f aca="false">J50/I50</f>
        <v>290.354107692308</v>
      </c>
    </row>
    <row r="51" customFormat="false" ht="15" hidden="false" customHeight="false" outlineLevel="0" collapsed="false">
      <c r="A51" s="3" t="s">
        <v>177</v>
      </c>
      <c r="B51" s="3" t="s">
        <v>82</v>
      </c>
      <c r="C51" s="3" t="s">
        <v>25</v>
      </c>
      <c r="D51" s="3" t="s">
        <v>178</v>
      </c>
      <c r="E51" s="3" t="s">
        <v>179</v>
      </c>
      <c r="F51" s="3" t="s">
        <v>34</v>
      </c>
      <c r="G51" s="3" t="n">
        <v>147012</v>
      </c>
      <c r="H51" s="3" t="n">
        <v>12621</v>
      </c>
      <c r="I51" s="3" t="n">
        <v>845</v>
      </c>
      <c r="J51" s="3" t="n">
        <v>41523</v>
      </c>
      <c r="K51" s="3" t="n">
        <v>88088.38</v>
      </c>
      <c r="L51" s="3" t="n">
        <v>1413</v>
      </c>
      <c r="M51" s="3" t="n">
        <f aca="false">H51/G51*100</f>
        <v>8.5850134682883</v>
      </c>
      <c r="N51" s="3" t="n">
        <f aca="false">I51/H51*100</f>
        <v>6.6951905554235</v>
      </c>
      <c r="O51" s="3" t="n">
        <f aca="false">(K51-J51)/J51*100</f>
        <v>112.143583074441</v>
      </c>
      <c r="P51" s="3" t="n">
        <f aca="false">J51/L51</f>
        <v>29.3864118895966</v>
      </c>
      <c r="Q51" s="3" t="n">
        <f aca="false">J51/I51</f>
        <v>49.1396449704142</v>
      </c>
    </row>
    <row r="52" customFormat="false" ht="15" hidden="false" customHeight="false" outlineLevel="0" collapsed="false">
      <c r="A52" s="2" t="s">
        <v>180</v>
      </c>
      <c r="B52" s="2" t="s">
        <v>30</v>
      </c>
      <c r="C52" s="2" t="s">
        <v>31</v>
      </c>
      <c r="D52" s="2" t="s">
        <v>181</v>
      </c>
      <c r="E52" s="2" t="s">
        <v>182</v>
      </c>
      <c r="F52" s="2" t="s">
        <v>22</v>
      </c>
      <c r="G52" s="2" t="n">
        <v>62189</v>
      </c>
      <c r="H52" s="2" t="n">
        <v>3349</v>
      </c>
      <c r="I52" s="2" t="n">
        <v>565</v>
      </c>
      <c r="J52" s="2" t="n">
        <v>198272.34</v>
      </c>
      <c r="K52" s="2" t="n">
        <v>293909.6</v>
      </c>
      <c r="L52" s="2" t="n">
        <v>1056</v>
      </c>
      <c r="M52" s="2" t="n">
        <f aca="false">H52/G52*100</f>
        <v>5.38519673897313</v>
      </c>
      <c r="N52" s="2" t="n">
        <f aca="false">I52/H52*100</f>
        <v>16.8707076739325</v>
      </c>
      <c r="O52" s="2" t="n">
        <f aca="false">(K52-J52)/J52*100</f>
        <v>48.2353010006338</v>
      </c>
      <c r="P52" s="2" t="n">
        <f aca="false">J52/L52</f>
        <v>187.757897727273</v>
      </c>
      <c r="Q52" s="2" t="n">
        <f aca="false">J52/I52</f>
        <v>350.924495575221</v>
      </c>
    </row>
    <row r="53" customFormat="false" ht="15" hidden="false" customHeight="false" outlineLevel="0" collapsed="false">
      <c r="A53" s="3" t="s">
        <v>183</v>
      </c>
      <c r="B53" s="3" t="s">
        <v>114</v>
      </c>
      <c r="C53" s="3" t="s">
        <v>61</v>
      </c>
      <c r="D53" s="3" t="s">
        <v>51</v>
      </c>
      <c r="E53" s="3" t="s">
        <v>102</v>
      </c>
      <c r="F53" s="3" t="s">
        <v>28</v>
      </c>
      <c r="G53" s="3" t="n">
        <v>103348</v>
      </c>
      <c r="H53" s="3" t="n">
        <v>6984</v>
      </c>
      <c r="I53" s="3" t="n">
        <v>1191</v>
      </c>
      <c r="J53" s="3" t="n">
        <v>89822.07</v>
      </c>
      <c r="K53" s="3" t="n">
        <v>207886.5</v>
      </c>
      <c r="L53" s="3" t="n">
        <v>1694</v>
      </c>
      <c r="M53" s="3" t="n">
        <f aca="false">H53/G53*100</f>
        <v>6.75775051283044</v>
      </c>
      <c r="N53" s="3" t="n">
        <f aca="false">I53/H53*100</f>
        <v>17.053264604811</v>
      </c>
      <c r="O53" s="3" t="n">
        <f aca="false">(K53-J53)/J53*100</f>
        <v>131.442561944965</v>
      </c>
      <c r="P53" s="3" t="n">
        <f aca="false">J53/L53</f>
        <v>53.0236540731995</v>
      </c>
      <c r="Q53" s="3" t="n">
        <f aca="false">J53/I53</f>
        <v>75.417355163728</v>
      </c>
    </row>
    <row r="54" customFormat="false" ht="15" hidden="false" customHeight="false" outlineLevel="0" collapsed="false">
      <c r="A54" s="2" t="s">
        <v>184</v>
      </c>
      <c r="B54" s="2" t="s">
        <v>114</v>
      </c>
      <c r="C54" s="2" t="s">
        <v>61</v>
      </c>
      <c r="D54" s="2" t="s">
        <v>181</v>
      </c>
      <c r="E54" s="2" t="s">
        <v>172</v>
      </c>
      <c r="F54" s="2" t="s">
        <v>28</v>
      </c>
      <c r="G54" s="2" t="n">
        <v>140357</v>
      </c>
      <c r="H54" s="2" t="n">
        <v>6046</v>
      </c>
      <c r="I54" s="2" t="n">
        <v>1441</v>
      </c>
      <c r="J54" s="2" t="n">
        <v>20498.85</v>
      </c>
      <c r="K54" s="2" t="n">
        <v>59383.86</v>
      </c>
      <c r="L54" s="2" t="n">
        <v>2686</v>
      </c>
      <c r="M54" s="2" t="n">
        <f aca="false">H54/G54*100</f>
        <v>4.30758708151357</v>
      </c>
      <c r="N54" s="2" t="n">
        <f aca="false">I54/H54*100</f>
        <v>23.8339397949057</v>
      </c>
      <c r="O54" s="2" t="n">
        <f aca="false">(K54-J54)/J54*100</f>
        <v>189.693616959</v>
      </c>
      <c r="P54" s="2" t="n">
        <f aca="false">J54/L54</f>
        <v>7.63173864482502</v>
      </c>
      <c r="Q54" s="2" t="n">
        <f aca="false">J54/I54</f>
        <v>14.2254337265788</v>
      </c>
    </row>
    <row r="55" customFormat="false" ht="15" hidden="false" customHeight="false" outlineLevel="0" collapsed="false">
      <c r="A55" s="3" t="s">
        <v>185</v>
      </c>
      <c r="B55" s="3" t="s">
        <v>18</v>
      </c>
      <c r="C55" s="3" t="s">
        <v>19</v>
      </c>
      <c r="D55" s="3" t="s">
        <v>83</v>
      </c>
      <c r="E55" s="3" t="s">
        <v>186</v>
      </c>
      <c r="F55" s="3" t="s">
        <v>42</v>
      </c>
      <c r="G55" s="3" t="n">
        <v>168488</v>
      </c>
      <c r="H55" s="3" t="n">
        <v>14813</v>
      </c>
      <c r="I55" s="3" t="n">
        <v>1193</v>
      </c>
      <c r="J55" s="3" t="n">
        <v>130063.85</v>
      </c>
      <c r="K55" s="3" t="n">
        <v>184894.52</v>
      </c>
      <c r="L55" s="3" t="n">
        <v>1504</v>
      </c>
      <c r="M55" s="3" t="n">
        <f aca="false">H55/G55*100</f>
        <v>8.79172403969422</v>
      </c>
      <c r="N55" s="3" t="n">
        <f aca="false">I55/H55*100</f>
        <v>8.05373658273138</v>
      </c>
      <c r="O55" s="3" t="n">
        <f aca="false">(K55-J55)/J55*100</f>
        <v>42.1567330199744</v>
      </c>
      <c r="P55" s="3" t="n">
        <f aca="false">J55/L55</f>
        <v>86.4786236702128</v>
      </c>
      <c r="Q55" s="3" t="n">
        <f aca="false">J55/I55</f>
        <v>109.022506286672</v>
      </c>
    </row>
    <row r="56" customFormat="false" ht="15" hidden="false" customHeight="false" outlineLevel="0" collapsed="false">
      <c r="A56" s="2" t="s">
        <v>187</v>
      </c>
      <c r="B56" s="2" t="s">
        <v>89</v>
      </c>
      <c r="C56" s="2" t="s">
        <v>19</v>
      </c>
      <c r="D56" s="2" t="s">
        <v>188</v>
      </c>
      <c r="E56" s="2" t="s">
        <v>189</v>
      </c>
      <c r="F56" s="2" t="s">
        <v>42</v>
      </c>
      <c r="G56" s="2" t="n">
        <v>183563</v>
      </c>
      <c r="H56" s="2" t="n">
        <v>12810</v>
      </c>
      <c r="I56" s="2" t="n">
        <v>1933</v>
      </c>
      <c r="J56" s="2" t="n">
        <v>115351.05</v>
      </c>
      <c r="K56" s="2" t="n">
        <v>353182.73</v>
      </c>
      <c r="L56" s="2" t="n">
        <v>3155</v>
      </c>
      <c r="M56" s="2" t="n">
        <f aca="false">H56/G56*100</f>
        <v>6.97853053175204</v>
      </c>
      <c r="N56" s="2" t="n">
        <f aca="false">I56/H56*100</f>
        <v>15.0897736143638</v>
      </c>
      <c r="O56" s="2" t="n">
        <f aca="false">(K56-J56)/J56*100</f>
        <v>206.180767318546</v>
      </c>
      <c r="P56" s="2" t="n">
        <f aca="false">J56/L56</f>
        <v>36.5613470681458</v>
      </c>
      <c r="Q56" s="2" t="n">
        <f aca="false">J56/I56</f>
        <v>59.6746249353337</v>
      </c>
    </row>
    <row r="57" customFormat="false" ht="15" hidden="false" customHeight="false" outlineLevel="0" collapsed="false">
      <c r="A57" s="3" t="s">
        <v>190</v>
      </c>
      <c r="B57" s="3" t="s">
        <v>50</v>
      </c>
      <c r="C57" s="3" t="s">
        <v>31</v>
      </c>
      <c r="D57" s="3" t="s">
        <v>109</v>
      </c>
      <c r="E57" s="3" t="s">
        <v>191</v>
      </c>
      <c r="F57" s="3" t="s">
        <v>34</v>
      </c>
      <c r="G57" s="3" t="n">
        <v>127995</v>
      </c>
      <c r="H57" s="3" t="n">
        <v>6586</v>
      </c>
      <c r="I57" s="3" t="n">
        <v>825</v>
      </c>
      <c r="J57" s="3" t="n">
        <v>100036.4</v>
      </c>
      <c r="K57" s="3" t="n">
        <v>127604.18</v>
      </c>
      <c r="L57" s="3" t="n">
        <v>1357</v>
      </c>
      <c r="M57" s="3" t="n">
        <f aca="false">H57/G57*100</f>
        <v>5.14551349662096</v>
      </c>
      <c r="N57" s="3" t="n">
        <f aca="false">I57/H57*100</f>
        <v>12.5265715153356</v>
      </c>
      <c r="O57" s="3" t="n">
        <f aca="false">(K57-J57)/J57*100</f>
        <v>27.5577489793715</v>
      </c>
      <c r="P57" s="3" t="n">
        <f aca="false">J57/L57</f>
        <v>73.7187914517318</v>
      </c>
      <c r="Q57" s="3" t="n">
        <f aca="false">J57/I57</f>
        <v>121.256242424242</v>
      </c>
    </row>
    <row r="58" customFormat="false" ht="15" hidden="false" customHeight="false" outlineLevel="0" collapsed="false">
      <c r="A58" s="2" t="s">
        <v>192</v>
      </c>
      <c r="B58" s="2" t="s">
        <v>82</v>
      </c>
      <c r="C58" s="2" t="s">
        <v>25</v>
      </c>
      <c r="D58" s="2" t="s">
        <v>172</v>
      </c>
      <c r="E58" s="2" t="s">
        <v>193</v>
      </c>
      <c r="F58" s="2" t="s">
        <v>22</v>
      </c>
      <c r="G58" s="2" t="n">
        <v>45255</v>
      </c>
      <c r="H58" s="2" t="n">
        <v>2319</v>
      </c>
      <c r="I58" s="2" t="n">
        <v>296</v>
      </c>
      <c r="J58" s="2" t="n">
        <v>156342.06</v>
      </c>
      <c r="K58" s="2" t="n">
        <v>392163.27</v>
      </c>
      <c r="L58" s="2" t="n">
        <v>471</v>
      </c>
      <c r="M58" s="2" t="n">
        <f aca="false">H58/G58*100</f>
        <v>5.12429565793835</v>
      </c>
      <c r="N58" s="2" t="n">
        <f aca="false">I58/H58*100</f>
        <v>12.7641224665804</v>
      </c>
      <c r="O58" s="2" t="n">
        <f aca="false">(K58-J58)/J58*100</f>
        <v>150.836703827492</v>
      </c>
      <c r="P58" s="2" t="n">
        <f aca="false">J58/L58</f>
        <v>331.936433121019</v>
      </c>
      <c r="Q58" s="2" t="n">
        <f aca="false">J58/I58</f>
        <v>528.182635135135</v>
      </c>
    </row>
    <row r="59" customFormat="false" ht="15" hidden="false" customHeight="false" outlineLevel="0" collapsed="false">
      <c r="A59" s="3" t="s">
        <v>194</v>
      </c>
      <c r="B59" s="3" t="s">
        <v>82</v>
      </c>
      <c r="C59" s="3" t="s">
        <v>25</v>
      </c>
      <c r="D59" s="3" t="s">
        <v>195</v>
      </c>
      <c r="E59" s="3" t="s">
        <v>140</v>
      </c>
      <c r="F59" s="3" t="s">
        <v>64</v>
      </c>
      <c r="G59" s="3" t="n">
        <v>157391</v>
      </c>
      <c r="H59" s="3" t="n">
        <v>16594</v>
      </c>
      <c r="I59" s="3" t="n">
        <v>2511</v>
      </c>
      <c r="J59" s="3" t="n">
        <v>87406.19</v>
      </c>
      <c r="K59" s="3" t="n">
        <v>204337.28</v>
      </c>
      <c r="L59" s="3" t="n">
        <v>4963</v>
      </c>
      <c r="M59" s="3" t="n">
        <f aca="false">H59/G59*100</f>
        <v>10.5431695586152</v>
      </c>
      <c r="N59" s="3" t="n">
        <f aca="false">I59/H59*100</f>
        <v>15.1319754127998</v>
      </c>
      <c r="O59" s="3" t="n">
        <f aca="false">(K59-J59)/J59*100</f>
        <v>133.778957760314</v>
      </c>
      <c r="P59" s="3" t="n">
        <f aca="false">J59/L59</f>
        <v>17.6115635704211</v>
      </c>
      <c r="Q59" s="3" t="n">
        <f aca="false">J59/I59</f>
        <v>34.8093150139387</v>
      </c>
    </row>
    <row r="60" customFormat="false" ht="15" hidden="false" customHeight="false" outlineLevel="0" collapsed="false">
      <c r="A60" s="2" t="s">
        <v>196</v>
      </c>
      <c r="B60" s="2" t="s">
        <v>98</v>
      </c>
      <c r="C60" s="2" t="s">
        <v>61</v>
      </c>
      <c r="D60" s="2" t="s">
        <v>197</v>
      </c>
      <c r="E60" s="2" t="s">
        <v>198</v>
      </c>
      <c r="F60" s="2" t="s">
        <v>64</v>
      </c>
      <c r="G60" s="2" t="n">
        <v>26101</v>
      </c>
      <c r="H60" s="2" t="n">
        <v>595</v>
      </c>
      <c r="I60" s="2" t="n">
        <v>35</v>
      </c>
      <c r="J60" s="2" t="n">
        <v>169832.82</v>
      </c>
      <c r="K60" s="2" t="n">
        <v>340076.06</v>
      </c>
      <c r="L60" s="2" t="n">
        <v>62</v>
      </c>
      <c r="M60" s="2" t="n">
        <f aca="false">H60/G60*100</f>
        <v>2.27960614535842</v>
      </c>
      <c r="N60" s="2" t="n">
        <f aca="false">I60/H60*100</f>
        <v>5.88235294117647</v>
      </c>
      <c r="O60" s="2" t="n">
        <f aca="false">(K60-J60)/J60*100</f>
        <v>100.241661181861</v>
      </c>
      <c r="P60" s="2" t="n">
        <f aca="false">J60/L60</f>
        <v>2739.23903225806</v>
      </c>
      <c r="Q60" s="2" t="n">
        <f aca="false">J60/I60</f>
        <v>4852.36628571429</v>
      </c>
    </row>
    <row r="61" customFormat="false" ht="15" hidden="false" customHeight="false" outlineLevel="0" collapsed="false">
      <c r="A61" s="3" t="s">
        <v>199</v>
      </c>
      <c r="B61" s="3" t="s">
        <v>73</v>
      </c>
      <c r="C61" s="3" t="s">
        <v>25</v>
      </c>
      <c r="D61" s="3" t="s">
        <v>200</v>
      </c>
      <c r="E61" s="3" t="s">
        <v>201</v>
      </c>
      <c r="F61" s="3" t="s">
        <v>22</v>
      </c>
      <c r="G61" s="3" t="n">
        <v>122236</v>
      </c>
      <c r="H61" s="3" t="n">
        <v>6663</v>
      </c>
      <c r="I61" s="3" t="n">
        <v>809</v>
      </c>
      <c r="J61" s="3" t="n">
        <v>79984.81</v>
      </c>
      <c r="K61" s="3" t="n">
        <v>217626.83</v>
      </c>
      <c r="L61" s="3" t="n">
        <v>1131</v>
      </c>
      <c r="M61" s="3" t="n">
        <f aca="false">H61/G61*100</f>
        <v>5.45093098596158</v>
      </c>
      <c r="N61" s="3" t="n">
        <f aca="false">I61/H61*100</f>
        <v>12.1416779228576</v>
      </c>
      <c r="O61" s="3" t="n">
        <f aca="false">(K61-J61)/J61*100</f>
        <v>172.085199677289</v>
      </c>
      <c r="P61" s="3" t="n">
        <f aca="false">J61/L61</f>
        <v>70.720433244916</v>
      </c>
      <c r="Q61" s="3" t="n">
        <f aca="false">J61/I61</f>
        <v>98.868739184178</v>
      </c>
    </row>
    <row r="62" customFormat="false" ht="15" hidden="false" customHeight="false" outlineLevel="0" collapsed="false">
      <c r="A62" s="2" t="s">
        <v>202</v>
      </c>
      <c r="B62" s="2" t="s">
        <v>44</v>
      </c>
      <c r="C62" s="2" t="s">
        <v>31</v>
      </c>
      <c r="D62" s="2" t="s">
        <v>203</v>
      </c>
      <c r="E62" s="2" t="s">
        <v>204</v>
      </c>
      <c r="F62" s="2" t="s">
        <v>22</v>
      </c>
      <c r="G62" s="2" t="n">
        <v>89930</v>
      </c>
      <c r="H62" s="2" t="n">
        <v>2828</v>
      </c>
      <c r="I62" s="2" t="n">
        <v>237</v>
      </c>
      <c r="J62" s="2" t="n">
        <v>114607.11</v>
      </c>
      <c r="K62" s="2" t="n">
        <v>147381.14</v>
      </c>
      <c r="L62" s="2" t="n">
        <v>409</v>
      </c>
      <c r="M62" s="2" t="n">
        <f aca="false">H62/G62*100</f>
        <v>3.14466807516958</v>
      </c>
      <c r="N62" s="2" t="n">
        <f aca="false">I62/H62*100</f>
        <v>8.38048090523338</v>
      </c>
      <c r="O62" s="2" t="n">
        <f aca="false">(K62-J62)/J62*100</f>
        <v>28.5968558146174</v>
      </c>
      <c r="P62" s="2" t="n">
        <f aca="false">J62/L62</f>
        <v>280.212982885086</v>
      </c>
      <c r="Q62" s="2" t="n">
        <f aca="false">J62/I62</f>
        <v>483.574303797468</v>
      </c>
    </row>
    <row r="63" customFormat="false" ht="15" hidden="false" customHeight="false" outlineLevel="0" collapsed="false">
      <c r="A63" s="3" t="s">
        <v>205</v>
      </c>
      <c r="B63" s="3" t="s">
        <v>85</v>
      </c>
      <c r="C63" s="3" t="s">
        <v>25</v>
      </c>
      <c r="D63" s="3" t="s">
        <v>40</v>
      </c>
      <c r="E63" s="3" t="s">
        <v>173</v>
      </c>
      <c r="F63" s="3" t="s">
        <v>42</v>
      </c>
      <c r="G63" s="3" t="n">
        <v>15348</v>
      </c>
      <c r="H63" s="3" t="n">
        <v>1375</v>
      </c>
      <c r="I63" s="3" t="n">
        <v>230</v>
      </c>
      <c r="J63" s="3" t="n">
        <v>197366.48</v>
      </c>
      <c r="K63" s="3" t="n">
        <v>408311.08</v>
      </c>
      <c r="L63" s="3" t="n">
        <v>347</v>
      </c>
      <c r="M63" s="3" t="n">
        <f aca="false">H63/G63*100</f>
        <v>8.95882199635132</v>
      </c>
      <c r="N63" s="3" t="n">
        <f aca="false">I63/H63*100</f>
        <v>16.7272727272727</v>
      </c>
      <c r="O63" s="3" t="n">
        <f aca="false">(K63-J63)/J63*100</f>
        <v>106.879648459049</v>
      </c>
      <c r="P63" s="3" t="n">
        <f aca="false">J63/L63</f>
        <v>568.779481268012</v>
      </c>
      <c r="Q63" s="3" t="n">
        <f aca="false">J63/I63</f>
        <v>858.115130434783</v>
      </c>
    </row>
    <row r="64" customFormat="false" ht="15" hidden="false" customHeight="false" outlineLevel="0" collapsed="false">
      <c r="A64" s="2" t="s">
        <v>206</v>
      </c>
      <c r="B64" s="2" t="s">
        <v>117</v>
      </c>
      <c r="C64" s="2" t="s">
        <v>31</v>
      </c>
      <c r="D64" s="2" t="s">
        <v>207</v>
      </c>
      <c r="E64" s="2" t="s">
        <v>37</v>
      </c>
      <c r="F64" s="2" t="s">
        <v>42</v>
      </c>
      <c r="G64" s="2" t="n">
        <v>98071</v>
      </c>
      <c r="H64" s="2" t="n">
        <v>6832</v>
      </c>
      <c r="I64" s="2" t="n">
        <v>1450</v>
      </c>
      <c r="J64" s="2" t="n">
        <v>138466.7</v>
      </c>
      <c r="K64" s="2" t="n">
        <v>219226.38</v>
      </c>
      <c r="L64" s="2" t="n">
        <v>2087</v>
      </c>
      <c r="M64" s="2" t="n">
        <f aca="false">H64/G64*100</f>
        <v>6.96638149911799</v>
      </c>
      <c r="N64" s="2" t="n">
        <f aca="false">I64/H64*100</f>
        <v>21.2236533957845</v>
      </c>
      <c r="O64" s="2" t="n">
        <f aca="false">(K64-J64)/J64*100</f>
        <v>58.3242613567016</v>
      </c>
      <c r="P64" s="2" t="n">
        <f aca="false">J64/L64</f>
        <v>66.3472448490657</v>
      </c>
      <c r="Q64" s="2" t="n">
        <f aca="false">J64/I64</f>
        <v>95.494275862069</v>
      </c>
    </row>
    <row r="65" customFormat="false" ht="15" hidden="false" customHeight="false" outlineLevel="0" collapsed="false">
      <c r="A65" s="3" t="s">
        <v>208</v>
      </c>
      <c r="B65" s="3" t="s">
        <v>117</v>
      </c>
      <c r="C65" s="3" t="s">
        <v>31</v>
      </c>
      <c r="D65" s="3" t="s">
        <v>209</v>
      </c>
      <c r="E65" s="3" t="s">
        <v>210</v>
      </c>
      <c r="F65" s="3" t="s">
        <v>22</v>
      </c>
      <c r="G65" s="3" t="n">
        <v>85328</v>
      </c>
      <c r="H65" s="3" t="n">
        <v>3969</v>
      </c>
      <c r="I65" s="3" t="n">
        <v>434</v>
      </c>
      <c r="J65" s="3" t="n">
        <v>121101.33</v>
      </c>
      <c r="K65" s="3" t="n">
        <v>369430.14</v>
      </c>
      <c r="L65" s="3" t="n">
        <v>737</v>
      </c>
      <c r="M65" s="3" t="n">
        <f aca="false">H65/G65*100</f>
        <v>4.65146259141196</v>
      </c>
      <c r="N65" s="3" t="n">
        <f aca="false">I65/H65*100</f>
        <v>10.9347442680776</v>
      </c>
      <c r="O65" s="3" t="n">
        <f aca="false">(K65-J65)/J65*100</f>
        <v>205.058697538665</v>
      </c>
      <c r="P65" s="3" t="n">
        <f aca="false">J65/L65</f>
        <v>164.316594301221</v>
      </c>
      <c r="Q65" s="3" t="n">
        <f aca="false">J65/I65</f>
        <v>279.035322580645</v>
      </c>
    </row>
    <row r="66" customFormat="false" ht="15" hidden="false" customHeight="false" outlineLevel="0" collapsed="false">
      <c r="A66" s="2" t="s">
        <v>211</v>
      </c>
      <c r="B66" s="2" t="s">
        <v>30</v>
      </c>
      <c r="C66" s="2" t="s">
        <v>31</v>
      </c>
      <c r="D66" s="2" t="s">
        <v>212</v>
      </c>
      <c r="E66" s="2" t="s">
        <v>213</v>
      </c>
      <c r="F66" s="2" t="s">
        <v>22</v>
      </c>
      <c r="G66" s="2" t="n">
        <v>81660</v>
      </c>
      <c r="H66" s="2" t="n">
        <v>2182</v>
      </c>
      <c r="I66" s="2" t="n">
        <v>458</v>
      </c>
      <c r="J66" s="2" t="n">
        <v>102924.65</v>
      </c>
      <c r="K66" s="2" t="n">
        <v>173160.44</v>
      </c>
      <c r="L66" s="2" t="n">
        <v>841</v>
      </c>
      <c r="M66" s="2" t="n">
        <f aca="false">H66/G66*100</f>
        <v>2.67205486162136</v>
      </c>
      <c r="N66" s="2" t="n">
        <f aca="false">I66/H66*100</f>
        <v>20.9899175068744</v>
      </c>
      <c r="O66" s="2" t="n">
        <f aca="false">(K66-J66)/J66*100</f>
        <v>68.2400085888075</v>
      </c>
      <c r="P66" s="2" t="n">
        <f aca="false">J66/L66</f>
        <v>122.383650416171</v>
      </c>
      <c r="Q66" s="2" t="n">
        <f aca="false">J66/I66</f>
        <v>224.726310043668</v>
      </c>
    </row>
    <row r="67" customFormat="false" ht="15" hidden="false" customHeight="false" outlineLevel="0" collapsed="false">
      <c r="A67" s="3" t="s">
        <v>214</v>
      </c>
      <c r="B67" s="3" t="s">
        <v>114</v>
      </c>
      <c r="C67" s="3" t="s">
        <v>61</v>
      </c>
      <c r="D67" s="3" t="s">
        <v>215</v>
      </c>
      <c r="E67" s="3" t="s">
        <v>216</v>
      </c>
      <c r="F67" s="3" t="s">
        <v>28</v>
      </c>
      <c r="G67" s="3" t="n">
        <v>183921</v>
      </c>
      <c r="H67" s="3" t="n">
        <v>13609</v>
      </c>
      <c r="I67" s="3" t="n">
        <v>1225</v>
      </c>
      <c r="J67" s="3" t="n">
        <v>89425.68</v>
      </c>
      <c r="K67" s="3" t="n">
        <v>235852.8</v>
      </c>
      <c r="L67" s="3" t="n">
        <v>1914</v>
      </c>
      <c r="M67" s="3" t="n">
        <f aca="false">H67/G67*100</f>
        <v>7.39937255669554</v>
      </c>
      <c r="N67" s="3" t="n">
        <f aca="false">I67/H67*100</f>
        <v>9.00139613491072</v>
      </c>
      <c r="O67" s="3" t="n">
        <f aca="false">(K67-J67)/J67*100</f>
        <v>163.741690306409</v>
      </c>
      <c r="P67" s="3" t="n">
        <f aca="false">J67/L67</f>
        <v>46.7218808777429</v>
      </c>
      <c r="Q67" s="3" t="n">
        <f aca="false">J67/I67</f>
        <v>73.0005551020408</v>
      </c>
    </row>
    <row r="68" customFormat="false" ht="15" hidden="false" customHeight="false" outlineLevel="0" collapsed="false">
      <c r="A68" s="2" t="s">
        <v>217</v>
      </c>
      <c r="B68" s="2" t="s">
        <v>18</v>
      </c>
      <c r="C68" s="2" t="s">
        <v>19</v>
      </c>
      <c r="D68" s="2" t="s">
        <v>218</v>
      </c>
      <c r="E68" s="2" t="s">
        <v>219</v>
      </c>
      <c r="F68" s="2" t="s">
        <v>22</v>
      </c>
      <c r="G68" s="2" t="n">
        <v>65824</v>
      </c>
      <c r="H68" s="2" t="n">
        <v>5666</v>
      </c>
      <c r="I68" s="2" t="n">
        <v>1216</v>
      </c>
      <c r="J68" s="2" t="n">
        <v>188549.05</v>
      </c>
      <c r="K68" s="2" t="n">
        <v>342452.72</v>
      </c>
      <c r="L68" s="2" t="n">
        <v>2079</v>
      </c>
      <c r="M68" s="2" t="n">
        <f aca="false">H68/G68*100</f>
        <v>8.6078026251823</v>
      </c>
      <c r="N68" s="2" t="n">
        <f aca="false">I68/H68*100</f>
        <v>21.4613483939287</v>
      </c>
      <c r="O68" s="2" t="n">
        <f aca="false">(K68-J68)/J68*100</f>
        <v>81.6252693927654</v>
      </c>
      <c r="P68" s="2" t="n">
        <f aca="false">J68/L68</f>
        <v>90.6921837421837</v>
      </c>
      <c r="Q68" s="2" t="n">
        <f aca="false">J68/I68</f>
        <v>155.056784539474</v>
      </c>
    </row>
    <row r="69" customFormat="false" ht="15" hidden="false" customHeight="false" outlineLevel="0" collapsed="false">
      <c r="A69" s="3" t="s">
        <v>220</v>
      </c>
      <c r="B69" s="3" t="s">
        <v>117</v>
      </c>
      <c r="C69" s="3" t="s">
        <v>31</v>
      </c>
      <c r="D69" s="3" t="s">
        <v>221</v>
      </c>
      <c r="E69" s="3" t="s">
        <v>86</v>
      </c>
      <c r="F69" s="3" t="s">
        <v>28</v>
      </c>
      <c r="G69" s="3" t="n">
        <v>105492</v>
      </c>
      <c r="H69" s="3" t="n">
        <v>6988</v>
      </c>
      <c r="I69" s="3" t="n">
        <v>685</v>
      </c>
      <c r="J69" s="3" t="n">
        <v>153090.2</v>
      </c>
      <c r="K69" s="3" t="n">
        <v>453257.09</v>
      </c>
      <c r="L69" s="3" t="n">
        <v>1284</v>
      </c>
      <c r="M69" s="3" t="n">
        <f aca="false">H69/G69*100</f>
        <v>6.62419899139271</v>
      </c>
      <c r="N69" s="3" t="n">
        <f aca="false">I69/H69*100</f>
        <v>9.80251860331998</v>
      </c>
      <c r="O69" s="3" t="n">
        <f aca="false">(K69-J69)/J69*100</f>
        <v>196.071917078951</v>
      </c>
      <c r="P69" s="3" t="n">
        <f aca="false">J69/L69</f>
        <v>119.229127725857</v>
      </c>
      <c r="Q69" s="3" t="n">
        <f aca="false">J69/I69</f>
        <v>223.489343065693</v>
      </c>
    </row>
    <row r="70" customFormat="false" ht="15" hidden="false" customHeight="false" outlineLevel="0" collapsed="false">
      <c r="A70" s="2" t="s">
        <v>222</v>
      </c>
      <c r="B70" s="2" t="s">
        <v>18</v>
      </c>
      <c r="C70" s="2" t="s">
        <v>19</v>
      </c>
      <c r="D70" s="2" t="s">
        <v>223</v>
      </c>
      <c r="E70" s="2" t="s">
        <v>224</v>
      </c>
      <c r="F70" s="2" t="s">
        <v>34</v>
      </c>
      <c r="G70" s="2" t="n">
        <v>79975</v>
      </c>
      <c r="H70" s="2" t="n">
        <v>8187</v>
      </c>
      <c r="I70" s="2" t="n">
        <v>1467</v>
      </c>
      <c r="J70" s="2" t="n">
        <v>62442.63</v>
      </c>
      <c r="K70" s="2" t="n">
        <v>161278.96</v>
      </c>
      <c r="L70" s="2" t="n">
        <v>2236</v>
      </c>
      <c r="M70" s="2" t="n">
        <f aca="false">H70/G70*100</f>
        <v>10.2369490465771</v>
      </c>
      <c r="N70" s="2" t="n">
        <f aca="false">I70/H70*100</f>
        <v>17.9186515207036</v>
      </c>
      <c r="O70" s="2" t="n">
        <f aca="false">(K70-J70)/J70*100</f>
        <v>158.283419516443</v>
      </c>
      <c r="P70" s="2" t="n">
        <f aca="false">J70/L70</f>
        <v>27.926042039356</v>
      </c>
      <c r="Q70" s="2" t="n">
        <f aca="false">J70/I70</f>
        <v>42.5648466257669</v>
      </c>
    </row>
    <row r="71" customFormat="false" ht="15" hidden="false" customHeight="false" outlineLevel="0" collapsed="false">
      <c r="A71" s="3" t="s">
        <v>225</v>
      </c>
      <c r="B71" s="3" t="s">
        <v>117</v>
      </c>
      <c r="C71" s="3" t="s">
        <v>31</v>
      </c>
      <c r="D71" s="3" t="s">
        <v>226</v>
      </c>
      <c r="E71" s="3" t="s">
        <v>227</v>
      </c>
      <c r="F71" s="3" t="s">
        <v>34</v>
      </c>
      <c r="G71" s="3" t="n">
        <v>91406</v>
      </c>
      <c r="H71" s="3" t="n">
        <v>6070</v>
      </c>
      <c r="I71" s="3" t="n">
        <v>983</v>
      </c>
      <c r="J71" s="3" t="n">
        <v>95684.59</v>
      </c>
      <c r="K71" s="3" t="n">
        <v>257192.59</v>
      </c>
      <c r="L71" s="3" t="n">
        <v>1208</v>
      </c>
      <c r="M71" s="3" t="n">
        <f aca="false">H71/G71*100</f>
        <v>6.64070192328731</v>
      </c>
      <c r="N71" s="3" t="n">
        <f aca="false">I71/H71*100</f>
        <v>16.1943986820428</v>
      </c>
      <c r="O71" s="3" t="n">
        <f aca="false">(K71-J71)/J71*100</f>
        <v>168.792069862033</v>
      </c>
      <c r="P71" s="3" t="n">
        <f aca="false">J71/L71</f>
        <v>79.2090976821192</v>
      </c>
      <c r="Q71" s="3" t="n">
        <f aca="false">J71/I71</f>
        <v>97.3393591047813</v>
      </c>
    </row>
    <row r="72" customFormat="false" ht="15" hidden="false" customHeight="false" outlineLevel="0" collapsed="false">
      <c r="A72" s="2" t="s">
        <v>228</v>
      </c>
      <c r="B72" s="2" t="s">
        <v>30</v>
      </c>
      <c r="C72" s="2" t="s">
        <v>31</v>
      </c>
      <c r="D72" s="2" t="s">
        <v>229</v>
      </c>
      <c r="E72" s="2" t="s">
        <v>230</v>
      </c>
      <c r="F72" s="2" t="s">
        <v>28</v>
      </c>
      <c r="G72" s="2" t="n">
        <v>82816</v>
      </c>
      <c r="H72" s="2" t="n">
        <v>7111</v>
      </c>
      <c r="I72" s="2" t="n">
        <v>605</v>
      </c>
      <c r="J72" s="2" t="n">
        <v>172716.39</v>
      </c>
      <c r="K72" s="2" t="n">
        <v>590121.79</v>
      </c>
      <c r="L72" s="2" t="n">
        <v>961</v>
      </c>
      <c r="M72" s="2" t="n">
        <f aca="false">H72/G72*100</f>
        <v>8.58650502318393</v>
      </c>
      <c r="N72" s="2" t="n">
        <f aca="false">I72/H72*100</f>
        <v>8.50794543664745</v>
      </c>
      <c r="O72" s="2" t="n">
        <f aca="false">(K72-J72)/J72*100</f>
        <v>241.670984438709</v>
      </c>
      <c r="P72" s="2" t="n">
        <f aca="false">J72/L72</f>
        <v>179.725691987513</v>
      </c>
      <c r="Q72" s="2" t="n">
        <f aca="false">J72/I72</f>
        <v>285.481636363636</v>
      </c>
    </row>
    <row r="73" customFormat="false" ht="15" hidden="false" customHeight="false" outlineLevel="0" collapsed="false">
      <c r="A73" s="3" t="s">
        <v>231</v>
      </c>
      <c r="B73" s="3" t="s">
        <v>98</v>
      </c>
      <c r="C73" s="3" t="s">
        <v>61</v>
      </c>
      <c r="D73" s="3" t="s">
        <v>232</v>
      </c>
      <c r="E73" s="3" t="s">
        <v>233</v>
      </c>
      <c r="F73" s="3" t="s">
        <v>28</v>
      </c>
      <c r="G73" s="3" t="n">
        <v>26667</v>
      </c>
      <c r="H73" s="3" t="n">
        <v>2934</v>
      </c>
      <c r="I73" s="3" t="n">
        <v>385</v>
      </c>
      <c r="J73" s="3" t="n">
        <v>82235.34</v>
      </c>
      <c r="K73" s="3" t="n">
        <v>223029.68</v>
      </c>
      <c r="L73" s="3" t="n">
        <v>489</v>
      </c>
      <c r="M73" s="3" t="n">
        <f aca="false">H73/G73*100</f>
        <v>11.0023624704691</v>
      </c>
      <c r="N73" s="3" t="n">
        <f aca="false">I73/H73*100</f>
        <v>13.1220177232447</v>
      </c>
      <c r="O73" s="3" t="n">
        <f aca="false">(K73-J73)/J73*100</f>
        <v>171.209044675926</v>
      </c>
      <c r="P73" s="3" t="n">
        <f aca="false">J73/L73</f>
        <v>168.170429447853</v>
      </c>
      <c r="Q73" s="3" t="n">
        <f aca="false">J73/I73</f>
        <v>213.598285714286</v>
      </c>
    </row>
    <row r="74" customFormat="false" ht="15" hidden="false" customHeight="false" outlineLevel="0" collapsed="false">
      <c r="A74" s="2" t="s">
        <v>234</v>
      </c>
      <c r="B74" s="2" t="s">
        <v>30</v>
      </c>
      <c r="C74" s="2" t="s">
        <v>31</v>
      </c>
      <c r="D74" s="2" t="s">
        <v>235</v>
      </c>
      <c r="E74" s="2" t="s">
        <v>236</v>
      </c>
      <c r="F74" s="2" t="s">
        <v>42</v>
      </c>
      <c r="G74" s="2" t="n">
        <v>140141</v>
      </c>
      <c r="H74" s="2" t="n">
        <v>15199</v>
      </c>
      <c r="I74" s="2" t="n">
        <v>1483</v>
      </c>
      <c r="J74" s="2" t="n">
        <v>37621.21</v>
      </c>
      <c r="K74" s="2" t="n">
        <v>114947.12</v>
      </c>
      <c r="L74" s="2" t="n">
        <v>2170</v>
      </c>
      <c r="M74" s="2" t="n">
        <f aca="false">H74/G74*100</f>
        <v>10.8455055979335</v>
      </c>
      <c r="N74" s="2" t="n">
        <f aca="false">I74/H74*100</f>
        <v>9.75722086979407</v>
      </c>
      <c r="O74" s="2" t="n">
        <f aca="false">(K74-J74)/J74*100</f>
        <v>205.538072805208</v>
      </c>
      <c r="P74" s="2" t="n">
        <f aca="false">J74/L74</f>
        <v>17.3369631336406</v>
      </c>
      <c r="Q74" s="2" t="n">
        <f aca="false">J74/I74</f>
        <v>25.3683142279164</v>
      </c>
    </row>
    <row r="75" customFormat="false" ht="15" hidden="false" customHeight="false" outlineLevel="0" collapsed="false">
      <c r="A75" s="3" t="s">
        <v>237</v>
      </c>
      <c r="B75" s="3" t="s">
        <v>18</v>
      </c>
      <c r="C75" s="3" t="s">
        <v>19</v>
      </c>
      <c r="D75" s="3" t="s">
        <v>238</v>
      </c>
      <c r="E75" s="3" t="s">
        <v>111</v>
      </c>
      <c r="F75" s="3" t="s">
        <v>42</v>
      </c>
      <c r="G75" s="3" t="n">
        <v>67149</v>
      </c>
      <c r="H75" s="3" t="n">
        <v>2311</v>
      </c>
      <c r="I75" s="3" t="n">
        <v>196</v>
      </c>
      <c r="J75" s="3" t="n">
        <v>194435.84</v>
      </c>
      <c r="K75" s="3" t="n">
        <v>429857.48</v>
      </c>
      <c r="L75" s="3" t="n">
        <v>275</v>
      </c>
      <c r="M75" s="3" t="n">
        <f aca="false">H75/G75*100</f>
        <v>3.44160002382761</v>
      </c>
      <c r="N75" s="3" t="n">
        <f aca="false">I75/H75*100</f>
        <v>8.48117697966248</v>
      </c>
      <c r="O75" s="3" t="n">
        <f aca="false">(K75-J75)/J75*100</f>
        <v>121.079344219666</v>
      </c>
      <c r="P75" s="3" t="n">
        <f aca="false">J75/L75</f>
        <v>707.039418181818</v>
      </c>
      <c r="Q75" s="3" t="n">
        <f aca="false">J75/I75</f>
        <v>992.019591836735</v>
      </c>
    </row>
    <row r="76" customFormat="false" ht="15" hidden="false" customHeight="false" outlineLevel="0" collapsed="false">
      <c r="A76" s="2" t="s">
        <v>239</v>
      </c>
      <c r="B76" s="2" t="s">
        <v>60</v>
      </c>
      <c r="C76" s="2" t="s">
        <v>61</v>
      </c>
      <c r="D76" s="2" t="s">
        <v>20</v>
      </c>
      <c r="E76" s="2" t="s">
        <v>240</v>
      </c>
      <c r="F76" s="2" t="s">
        <v>42</v>
      </c>
      <c r="G76" s="2" t="n">
        <v>92965</v>
      </c>
      <c r="H76" s="2" t="n">
        <v>6932</v>
      </c>
      <c r="I76" s="2" t="n">
        <v>1004</v>
      </c>
      <c r="J76" s="2" t="n">
        <v>60574.14</v>
      </c>
      <c r="K76" s="2" t="n">
        <v>111382.98</v>
      </c>
      <c r="L76" s="2" t="n">
        <v>1834</v>
      </c>
      <c r="M76" s="2" t="n">
        <f aca="false">H76/G76*100</f>
        <v>7.45656967676007</v>
      </c>
      <c r="N76" s="2" t="n">
        <f aca="false">I76/H76*100</f>
        <v>14.4835545297173</v>
      </c>
      <c r="O76" s="2" t="n">
        <f aca="false">(K76-J76)/J76*100</f>
        <v>83.8787641062671</v>
      </c>
      <c r="P76" s="2" t="n">
        <f aca="false">J76/L76</f>
        <v>33.0284296619411</v>
      </c>
      <c r="Q76" s="2" t="n">
        <f aca="false">J76/I76</f>
        <v>60.3328087649402</v>
      </c>
    </row>
    <row r="77" customFormat="false" ht="15" hidden="false" customHeight="false" outlineLevel="0" collapsed="false">
      <c r="A77" s="3" t="s">
        <v>241</v>
      </c>
      <c r="B77" s="3" t="s">
        <v>98</v>
      </c>
      <c r="C77" s="3" t="s">
        <v>61</v>
      </c>
      <c r="D77" s="3" t="s">
        <v>242</v>
      </c>
      <c r="E77" s="3" t="s">
        <v>243</v>
      </c>
      <c r="F77" s="3" t="s">
        <v>34</v>
      </c>
      <c r="G77" s="3" t="n">
        <v>15524</v>
      </c>
      <c r="H77" s="3" t="n">
        <v>1312</v>
      </c>
      <c r="I77" s="3" t="n">
        <v>303</v>
      </c>
      <c r="J77" s="3" t="n">
        <v>21439.74</v>
      </c>
      <c r="K77" s="3" t="n">
        <v>62190.99</v>
      </c>
      <c r="L77" s="3" t="n">
        <v>557</v>
      </c>
      <c r="M77" s="3" t="n">
        <f aca="false">H77/G77*100</f>
        <v>8.45143004380314</v>
      </c>
      <c r="N77" s="3" t="n">
        <f aca="false">I77/H77*100</f>
        <v>23.094512195122</v>
      </c>
      <c r="O77" s="3" t="n">
        <f aca="false">(K77-J77)/J77*100</f>
        <v>190.073433726342</v>
      </c>
      <c r="P77" s="3" t="n">
        <f aca="false">J77/L77</f>
        <v>38.4914542190305</v>
      </c>
      <c r="Q77" s="3" t="n">
        <f aca="false">J77/I77</f>
        <v>70.7582178217822</v>
      </c>
    </row>
    <row r="78" customFormat="false" ht="15" hidden="false" customHeight="false" outlineLevel="0" collapsed="false">
      <c r="A78" s="2" t="s">
        <v>244</v>
      </c>
      <c r="B78" s="2" t="s">
        <v>114</v>
      </c>
      <c r="C78" s="2" t="s">
        <v>61</v>
      </c>
      <c r="D78" s="2" t="s">
        <v>245</v>
      </c>
      <c r="E78" s="2" t="s">
        <v>108</v>
      </c>
      <c r="F78" s="2" t="s">
        <v>42</v>
      </c>
      <c r="G78" s="2" t="n">
        <v>91072</v>
      </c>
      <c r="H78" s="2" t="n">
        <v>7640</v>
      </c>
      <c r="I78" s="2" t="n">
        <v>1452</v>
      </c>
      <c r="J78" s="2" t="n">
        <v>182084.06</v>
      </c>
      <c r="K78" s="2" t="n">
        <v>505478.31</v>
      </c>
      <c r="L78" s="2" t="n">
        <v>2363</v>
      </c>
      <c r="M78" s="2" t="n">
        <f aca="false">H78/G78*100</f>
        <v>8.38896697118763</v>
      </c>
      <c r="N78" s="2" t="n">
        <f aca="false">I78/H78*100</f>
        <v>19.0052356020942</v>
      </c>
      <c r="O78" s="2" t="n">
        <f aca="false">(K78-J78)/J78*100</f>
        <v>177.607117284182</v>
      </c>
      <c r="P78" s="2" t="n">
        <f aca="false">J78/L78</f>
        <v>77.0563097757088</v>
      </c>
      <c r="Q78" s="2" t="n">
        <f aca="false">J78/I78</f>
        <v>125.402245179063</v>
      </c>
    </row>
    <row r="79" customFormat="false" ht="15" hidden="false" customHeight="false" outlineLevel="0" collapsed="false">
      <c r="A79" s="3" t="s">
        <v>246</v>
      </c>
      <c r="B79" s="3" t="s">
        <v>50</v>
      </c>
      <c r="C79" s="3" t="s">
        <v>31</v>
      </c>
      <c r="D79" s="3" t="s">
        <v>179</v>
      </c>
      <c r="E79" s="3" t="s">
        <v>247</v>
      </c>
      <c r="F79" s="3" t="s">
        <v>64</v>
      </c>
      <c r="G79" s="3" t="n">
        <v>76986</v>
      </c>
      <c r="H79" s="3" t="n">
        <v>3856</v>
      </c>
      <c r="I79" s="3" t="n">
        <v>914</v>
      </c>
      <c r="J79" s="3" t="n">
        <v>154983.57</v>
      </c>
      <c r="K79" s="3" t="n">
        <v>292000.31</v>
      </c>
      <c r="L79" s="3" t="n">
        <v>1725</v>
      </c>
      <c r="M79" s="3" t="n">
        <f aca="false">H79/G79*100</f>
        <v>5.00870288104331</v>
      </c>
      <c r="N79" s="3" t="n">
        <f aca="false">I79/H79*100</f>
        <v>23.7033195020747</v>
      </c>
      <c r="O79" s="3" t="n">
        <f aca="false">(K79-J79)/J79*100</f>
        <v>88.4072679445957</v>
      </c>
      <c r="P79" s="3" t="n">
        <f aca="false">J79/L79</f>
        <v>89.845547826087</v>
      </c>
      <c r="Q79" s="3" t="n">
        <f aca="false">J79/I79</f>
        <v>169.566269146608</v>
      </c>
    </row>
    <row r="80" customFormat="false" ht="15" hidden="false" customHeight="false" outlineLevel="0" collapsed="false">
      <c r="A80" s="2" t="s">
        <v>248</v>
      </c>
      <c r="B80" s="2" t="s">
        <v>73</v>
      </c>
      <c r="C80" s="2" t="s">
        <v>25</v>
      </c>
      <c r="D80" s="2" t="s">
        <v>249</v>
      </c>
      <c r="E80" s="2" t="s">
        <v>250</v>
      </c>
      <c r="F80" s="2" t="s">
        <v>42</v>
      </c>
      <c r="G80" s="2" t="n">
        <v>81837</v>
      </c>
      <c r="H80" s="2" t="n">
        <v>8727</v>
      </c>
      <c r="I80" s="2" t="n">
        <v>1873</v>
      </c>
      <c r="J80" s="2" t="n">
        <v>188991.65</v>
      </c>
      <c r="K80" s="2" t="n">
        <v>431564.31</v>
      </c>
      <c r="L80" s="2" t="n">
        <v>2866</v>
      </c>
      <c r="M80" s="2" t="n">
        <f aca="false">H80/G80*100</f>
        <v>10.663880640786</v>
      </c>
      <c r="N80" s="2" t="n">
        <f aca="false">I80/H80*100</f>
        <v>21.4621290248654</v>
      </c>
      <c r="O80" s="2" t="n">
        <f aca="false">(K80-J80)/J80*100</f>
        <v>128.350993284624</v>
      </c>
      <c r="P80" s="2" t="n">
        <f aca="false">J80/L80</f>
        <v>65.9426552686671</v>
      </c>
      <c r="Q80" s="2" t="n">
        <f aca="false">J80/I80</f>
        <v>100.903176721837</v>
      </c>
    </row>
    <row r="81" customFormat="false" ht="15" hidden="false" customHeight="false" outlineLevel="0" collapsed="false">
      <c r="A81" s="3" t="s">
        <v>251</v>
      </c>
      <c r="B81" s="3" t="s">
        <v>117</v>
      </c>
      <c r="C81" s="3" t="s">
        <v>31</v>
      </c>
      <c r="D81" s="3" t="s">
        <v>131</v>
      </c>
      <c r="E81" s="3" t="s">
        <v>252</v>
      </c>
      <c r="F81" s="3" t="s">
        <v>28</v>
      </c>
      <c r="G81" s="3" t="n">
        <v>193102</v>
      </c>
      <c r="H81" s="3" t="n">
        <v>8901</v>
      </c>
      <c r="I81" s="3" t="n">
        <v>563</v>
      </c>
      <c r="J81" s="3" t="n">
        <v>92861.05</v>
      </c>
      <c r="K81" s="3" t="n">
        <v>267182.85</v>
      </c>
      <c r="L81" s="3" t="n">
        <v>922</v>
      </c>
      <c r="M81" s="3" t="n">
        <f aca="false">H81/G81*100</f>
        <v>4.60948099967893</v>
      </c>
      <c r="N81" s="3" t="n">
        <f aca="false">I81/H81*100</f>
        <v>6.32513200763959</v>
      </c>
      <c r="O81" s="3" t="n">
        <f aca="false">(K81-J81)/J81*100</f>
        <v>187.72327041316</v>
      </c>
      <c r="P81" s="3" t="n">
        <f aca="false">J81/L81</f>
        <v>100.716973969631</v>
      </c>
      <c r="Q81" s="3" t="n">
        <f aca="false">J81/I81</f>
        <v>164.939698046181</v>
      </c>
    </row>
    <row r="82" customFormat="false" ht="15" hidden="false" customHeight="false" outlineLevel="0" collapsed="false">
      <c r="A82" s="2" t="s">
        <v>253</v>
      </c>
      <c r="B82" s="2" t="s">
        <v>117</v>
      </c>
      <c r="C82" s="2" t="s">
        <v>31</v>
      </c>
      <c r="D82" s="2" t="s">
        <v>254</v>
      </c>
      <c r="E82" s="2" t="s">
        <v>173</v>
      </c>
      <c r="F82" s="2" t="s">
        <v>28</v>
      </c>
      <c r="G82" s="2" t="n">
        <v>175191</v>
      </c>
      <c r="H82" s="2" t="n">
        <v>11271</v>
      </c>
      <c r="I82" s="2" t="n">
        <v>2008</v>
      </c>
      <c r="J82" s="2" t="n">
        <v>15569.02</v>
      </c>
      <c r="K82" s="2" t="n">
        <v>25847.27</v>
      </c>
      <c r="L82" s="2" t="n">
        <v>2900</v>
      </c>
      <c r="M82" s="2" t="n">
        <f aca="false">H82/G82*100</f>
        <v>6.43354966864736</v>
      </c>
      <c r="N82" s="2" t="n">
        <f aca="false">I82/H82*100</f>
        <v>17.8156330405465</v>
      </c>
      <c r="O82" s="2" t="n">
        <f aca="false">(K82-J82)/J82*100</f>
        <v>66.0173215783652</v>
      </c>
      <c r="P82" s="2" t="n">
        <f aca="false">J82/L82</f>
        <v>5.3686275862069</v>
      </c>
      <c r="Q82" s="2" t="n">
        <f aca="false">J82/I82</f>
        <v>7.75349601593626</v>
      </c>
    </row>
    <row r="83" customFormat="false" ht="15" hidden="false" customHeight="false" outlineLevel="0" collapsed="false">
      <c r="A83" s="3" t="s">
        <v>255</v>
      </c>
      <c r="B83" s="3" t="s">
        <v>36</v>
      </c>
      <c r="C83" s="3" t="s">
        <v>19</v>
      </c>
      <c r="D83" s="3" t="s">
        <v>221</v>
      </c>
      <c r="E83" s="3" t="s">
        <v>86</v>
      </c>
      <c r="F83" s="3" t="s">
        <v>42</v>
      </c>
      <c r="G83" s="3" t="n">
        <v>145362</v>
      </c>
      <c r="H83" s="3" t="n">
        <v>13279</v>
      </c>
      <c r="I83" s="3" t="n">
        <v>2702</v>
      </c>
      <c r="J83" s="3" t="n">
        <v>135098.4</v>
      </c>
      <c r="K83" s="3" t="n">
        <v>202541.39</v>
      </c>
      <c r="L83" s="3" t="n">
        <v>4526</v>
      </c>
      <c r="M83" s="3" t="n">
        <f aca="false">H83/G83*100</f>
        <v>9.13512472310508</v>
      </c>
      <c r="N83" s="3" t="n">
        <f aca="false">I83/H83*100</f>
        <v>20.3479177648919</v>
      </c>
      <c r="O83" s="3" t="n">
        <f aca="false">(K83-J83)/J83*100</f>
        <v>49.9213832288169</v>
      </c>
      <c r="P83" s="3" t="n">
        <f aca="false">J83/L83</f>
        <v>29.8494034467521</v>
      </c>
      <c r="Q83" s="3" t="n">
        <f aca="false">J83/I83</f>
        <v>49.99940784604</v>
      </c>
    </row>
    <row r="84" customFormat="false" ht="15" hidden="false" customHeight="false" outlineLevel="0" collapsed="false">
      <c r="A84" s="2" t="s">
        <v>256</v>
      </c>
      <c r="B84" s="2" t="s">
        <v>24</v>
      </c>
      <c r="C84" s="2" t="s">
        <v>25</v>
      </c>
      <c r="D84" s="2" t="s">
        <v>252</v>
      </c>
      <c r="E84" s="2" t="s">
        <v>257</v>
      </c>
      <c r="F84" s="2" t="s">
        <v>42</v>
      </c>
      <c r="G84" s="2" t="n">
        <v>78335</v>
      </c>
      <c r="H84" s="2" t="n">
        <v>2925</v>
      </c>
      <c r="I84" s="2" t="n">
        <v>493</v>
      </c>
      <c r="J84" s="2" t="n">
        <v>75602.38</v>
      </c>
      <c r="K84" s="2" t="n">
        <v>139723.32</v>
      </c>
      <c r="L84" s="2" t="n">
        <v>624</v>
      </c>
      <c r="M84" s="2" t="n">
        <f aca="false">H84/G84*100</f>
        <v>3.73396310716793</v>
      </c>
      <c r="N84" s="2" t="n">
        <f aca="false">I84/H84*100</f>
        <v>16.8547008547009</v>
      </c>
      <c r="O84" s="2" t="n">
        <f aca="false">(K84-J84)/J84*100</f>
        <v>84.8133881499498</v>
      </c>
      <c r="P84" s="2" t="n">
        <f aca="false">J84/L84</f>
        <v>121.15766025641</v>
      </c>
      <c r="Q84" s="2" t="n">
        <f aca="false">J84/I84</f>
        <v>153.35168356998</v>
      </c>
    </row>
    <row r="85" customFormat="false" ht="15" hidden="false" customHeight="false" outlineLevel="0" collapsed="false">
      <c r="A85" s="3" t="s">
        <v>258</v>
      </c>
      <c r="B85" s="3" t="s">
        <v>24</v>
      </c>
      <c r="C85" s="3" t="s">
        <v>25</v>
      </c>
      <c r="D85" s="3" t="s">
        <v>37</v>
      </c>
      <c r="E85" s="3" t="s">
        <v>259</v>
      </c>
      <c r="F85" s="3" t="s">
        <v>64</v>
      </c>
      <c r="G85" s="3" t="n">
        <v>15435</v>
      </c>
      <c r="H85" s="3" t="n">
        <v>1772</v>
      </c>
      <c r="I85" s="3" t="n">
        <v>415</v>
      </c>
      <c r="J85" s="3" t="n">
        <v>134714.74</v>
      </c>
      <c r="K85" s="3" t="n">
        <v>355814.35</v>
      </c>
      <c r="L85" s="3" t="n">
        <v>799</v>
      </c>
      <c r="M85" s="3" t="n">
        <f aca="false">H85/G85*100</f>
        <v>11.4804016844833</v>
      </c>
      <c r="N85" s="3" t="n">
        <f aca="false">I85/H85*100</f>
        <v>23.4198645598194</v>
      </c>
      <c r="O85" s="3" t="n">
        <f aca="false">(K85-J85)/J85*100</f>
        <v>164.124289591473</v>
      </c>
      <c r="P85" s="3" t="n">
        <f aca="false">J85/L85</f>
        <v>168.604180225282</v>
      </c>
      <c r="Q85" s="3" t="n">
        <f aca="false">J85/I85</f>
        <v>324.613831325301</v>
      </c>
    </row>
    <row r="86" customFormat="false" ht="15" hidden="false" customHeight="false" outlineLevel="0" collapsed="false">
      <c r="A86" s="2" t="s">
        <v>260</v>
      </c>
      <c r="B86" s="2" t="s">
        <v>121</v>
      </c>
      <c r="C86" s="2" t="s">
        <v>19</v>
      </c>
      <c r="D86" s="2" t="s">
        <v>261</v>
      </c>
      <c r="E86" s="2" t="s">
        <v>41</v>
      </c>
      <c r="F86" s="2" t="s">
        <v>28</v>
      </c>
      <c r="G86" s="2" t="n">
        <v>115128</v>
      </c>
      <c r="H86" s="2" t="n">
        <v>9417</v>
      </c>
      <c r="I86" s="2" t="n">
        <v>1601</v>
      </c>
      <c r="J86" s="2" t="n">
        <v>42611.47</v>
      </c>
      <c r="K86" s="2" t="n">
        <v>145027.1</v>
      </c>
      <c r="L86" s="2" t="n">
        <v>2139</v>
      </c>
      <c r="M86" s="2" t="n">
        <f aca="false">H86/G86*100</f>
        <v>8.17959141129873</v>
      </c>
      <c r="N86" s="2" t="n">
        <f aca="false">I86/H86*100</f>
        <v>17.0011681002442</v>
      </c>
      <c r="O86" s="2" t="n">
        <f aca="false">(K86-J86)/J86*100</f>
        <v>240.347563695878</v>
      </c>
      <c r="P86" s="2" t="n">
        <f aca="false">J86/L86</f>
        <v>19.9212108461898</v>
      </c>
      <c r="Q86" s="2" t="n">
        <f aca="false">J86/I86</f>
        <v>26.6155340412242</v>
      </c>
    </row>
    <row r="87" customFormat="false" ht="15" hidden="false" customHeight="false" outlineLevel="0" collapsed="false">
      <c r="A87" s="3" t="s">
        <v>262</v>
      </c>
      <c r="B87" s="3" t="s">
        <v>82</v>
      </c>
      <c r="C87" s="3" t="s">
        <v>25</v>
      </c>
      <c r="D87" s="3" t="s">
        <v>263</v>
      </c>
      <c r="E87" s="3" t="s">
        <v>264</v>
      </c>
      <c r="F87" s="3" t="s">
        <v>42</v>
      </c>
      <c r="G87" s="3" t="n">
        <v>186582</v>
      </c>
      <c r="H87" s="3" t="n">
        <v>12951</v>
      </c>
      <c r="I87" s="3" t="n">
        <v>1229</v>
      </c>
      <c r="J87" s="3" t="n">
        <v>52581.89</v>
      </c>
      <c r="K87" s="3" t="n">
        <v>177512.27</v>
      </c>
      <c r="L87" s="3" t="n">
        <v>2274</v>
      </c>
      <c r="M87" s="3" t="n">
        <f aca="false">H87/G87*100</f>
        <v>6.94118403704537</v>
      </c>
      <c r="N87" s="3" t="n">
        <f aca="false">I87/H87*100</f>
        <v>9.48961470156745</v>
      </c>
      <c r="O87" s="3" t="n">
        <f aca="false">(K87-J87)/J87*100</f>
        <v>237.592030259848</v>
      </c>
      <c r="P87" s="3" t="n">
        <f aca="false">J87/L87</f>
        <v>23.1230826737027</v>
      </c>
      <c r="Q87" s="3" t="n">
        <f aca="false">J87/I87</f>
        <v>42.7842880390561</v>
      </c>
    </row>
    <row r="88" customFormat="false" ht="15" hidden="false" customHeight="false" outlineLevel="0" collapsed="false">
      <c r="A88" s="2" t="s">
        <v>265</v>
      </c>
      <c r="B88" s="2" t="s">
        <v>24</v>
      </c>
      <c r="C88" s="2" t="s">
        <v>25</v>
      </c>
      <c r="D88" s="2" t="s">
        <v>266</v>
      </c>
      <c r="E88" s="2" t="s">
        <v>267</v>
      </c>
      <c r="F88" s="2" t="s">
        <v>42</v>
      </c>
      <c r="G88" s="2" t="n">
        <v>123064</v>
      </c>
      <c r="H88" s="2" t="n">
        <v>12999</v>
      </c>
      <c r="I88" s="2" t="n">
        <v>2210</v>
      </c>
      <c r="J88" s="2" t="n">
        <v>199113.38</v>
      </c>
      <c r="K88" s="2" t="n">
        <v>368523.95</v>
      </c>
      <c r="L88" s="2" t="n">
        <v>3849</v>
      </c>
      <c r="M88" s="2" t="n">
        <f aca="false">H88/G88*100</f>
        <v>10.5627965936423</v>
      </c>
      <c r="N88" s="2" t="n">
        <f aca="false">I88/H88*100</f>
        <v>17.0013077929072</v>
      </c>
      <c r="O88" s="2" t="n">
        <f aca="false">(K88-J88)/J88*100</f>
        <v>85.0824640714753</v>
      </c>
      <c r="P88" s="2" t="n">
        <f aca="false">J88/L88</f>
        <v>51.7311977136919</v>
      </c>
      <c r="Q88" s="2" t="n">
        <f aca="false">J88/I88</f>
        <v>90.0965520361991</v>
      </c>
    </row>
    <row r="89" customFormat="false" ht="15" hidden="false" customHeight="false" outlineLevel="0" collapsed="false">
      <c r="A89" s="3" t="s">
        <v>268</v>
      </c>
      <c r="B89" s="3" t="s">
        <v>121</v>
      </c>
      <c r="C89" s="3" t="s">
        <v>19</v>
      </c>
      <c r="D89" s="3" t="s">
        <v>200</v>
      </c>
      <c r="E89" s="3" t="s">
        <v>269</v>
      </c>
      <c r="F89" s="3" t="s">
        <v>28</v>
      </c>
      <c r="G89" s="3" t="n">
        <v>86072</v>
      </c>
      <c r="H89" s="3" t="n">
        <v>10123</v>
      </c>
      <c r="I89" s="3" t="n">
        <v>982</v>
      </c>
      <c r="J89" s="3" t="n">
        <v>98430.69</v>
      </c>
      <c r="K89" s="3" t="n">
        <v>174333.68</v>
      </c>
      <c r="L89" s="3" t="n">
        <v>1636</v>
      </c>
      <c r="M89" s="3" t="n">
        <f aca="false">H89/G89*100</f>
        <v>11.7610837438424</v>
      </c>
      <c r="N89" s="3" t="n">
        <f aca="false">I89/H89*100</f>
        <v>9.7006816161217</v>
      </c>
      <c r="O89" s="3" t="n">
        <f aca="false">(K89-J89)/J89*100</f>
        <v>77.1131341251392</v>
      </c>
      <c r="P89" s="3" t="n">
        <f aca="false">J89/L89</f>
        <v>60.1654584352078</v>
      </c>
      <c r="Q89" s="3" t="n">
        <f aca="false">J89/I89</f>
        <v>100.234918533605</v>
      </c>
    </row>
    <row r="90" customFormat="false" ht="15" hidden="false" customHeight="false" outlineLevel="0" collapsed="false">
      <c r="A90" s="2" t="s">
        <v>270</v>
      </c>
      <c r="B90" s="2" t="s">
        <v>50</v>
      </c>
      <c r="C90" s="2" t="s">
        <v>31</v>
      </c>
      <c r="D90" s="2" t="s">
        <v>203</v>
      </c>
      <c r="E90" s="2" t="s">
        <v>271</v>
      </c>
      <c r="F90" s="2" t="s">
        <v>22</v>
      </c>
      <c r="G90" s="2" t="n">
        <v>44918</v>
      </c>
      <c r="H90" s="2" t="n">
        <v>4812</v>
      </c>
      <c r="I90" s="2" t="n">
        <v>1178</v>
      </c>
      <c r="J90" s="2" t="n">
        <v>88547.62</v>
      </c>
      <c r="K90" s="2" t="n">
        <v>149477.29</v>
      </c>
      <c r="L90" s="2" t="n">
        <v>1775</v>
      </c>
      <c r="M90" s="2" t="n">
        <f aca="false">H90/G90*100</f>
        <v>10.7128545349303</v>
      </c>
      <c r="N90" s="2" t="n">
        <f aca="false">I90/H90*100</f>
        <v>24.4804655029094</v>
      </c>
      <c r="O90" s="2" t="n">
        <f aca="false">(K90-J90)/J90*100</f>
        <v>68.8100594911529</v>
      </c>
      <c r="P90" s="2" t="n">
        <f aca="false">J90/L90</f>
        <v>49.8859830985915</v>
      </c>
      <c r="Q90" s="2" t="n">
        <f aca="false">J90/I90</f>
        <v>75.1677589134126</v>
      </c>
    </row>
    <row r="91" customFormat="false" ht="15" hidden="false" customHeight="false" outlineLevel="0" collapsed="false">
      <c r="A91" s="3" t="s">
        <v>272</v>
      </c>
      <c r="B91" s="3" t="s">
        <v>60</v>
      </c>
      <c r="C91" s="3" t="s">
        <v>61</v>
      </c>
      <c r="D91" s="3" t="s">
        <v>273</v>
      </c>
      <c r="E91" s="3" t="s">
        <v>274</v>
      </c>
      <c r="F91" s="3" t="s">
        <v>22</v>
      </c>
      <c r="G91" s="3" t="n">
        <v>34976</v>
      </c>
      <c r="H91" s="3" t="n">
        <v>2647</v>
      </c>
      <c r="I91" s="3" t="n">
        <v>159</v>
      </c>
      <c r="J91" s="3" t="n">
        <v>187246.95</v>
      </c>
      <c r="K91" s="3" t="n">
        <v>427511.86</v>
      </c>
      <c r="L91" s="3" t="n">
        <v>235</v>
      </c>
      <c r="M91" s="3" t="n">
        <f aca="false">H91/G91*100</f>
        <v>7.56804666056725</v>
      </c>
      <c r="N91" s="3" t="n">
        <f aca="false">I91/H91*100</f>
        <v>6.00680015111447</v>
      </c>
      <c r="O91" s="3" t="n">
        <f aca="false">(K91-J91)/J91*100</f>
        <v>128.314458526561</v>
      </c>
      <c r="P91" s="3" t="n">
        <f aca="false">J91/L91</f>
        <v>796.795531914894</v>
      </c>
      <c r="Q91" s="3" t="n">
        <f aca="false">J91/I91</f>
        <v>1177.65377358491</v>
      </c>
    </row>
    <row r="92" customFormat="false" ht="15" hidden="false" customHeight="false" outlineLevel="0" collapsed="false">
      <c r="A92" s="2" t="s">
        <v>275</v>
      </c>
      <c r="B92" s="2" t="s">
        <v>44</v>
      </c>
      <c r="C92" s="2" t="s">
        <v>31</v>
      </c>
      <c r="D92" s="2" t="s">
        <v>276</v>
      </c>
      <c r="E92" s="2" t="s">
        <v>254</v>
      </c>
      <c r="F92" s="2" t="s">
        <v>22</v>
      </c>
      <c r="G92" s="2" t="n">
        <v>76494</v>
      </c>
      <c r="H92" s="2" t="n">
        <v>5389</v>
      </c>
      <c r="I92" s="2" t="n">
        <v>680</v>
      </c>
      <c r="J92" s="2" t="n">
        <v>195841.92</v>
      </c>
      <c r="K92" s="2" t="n">
        <v>537371.16</v>
      </c>
      <c r="L92" s="2" t="n">
        <v>887</v>
      </c>
      <c r="M92" s="2" t="n">
        <f aca="false">H92/G92*100</f>
        <v>7.04499699322823</v>
      </c>
      <c r="N92" s="2" t="n">
        <f aca="false">I92/H92*100</f>
        <v>12.6182965299685</v>
      </c>
      <c r="O92" s="2" t="n">
        <f aca="false">(K92-J92)/J92*100</f>
        <v>174.390263330752</v>
      </c>
      <c r="P92" s="2" t="n">
        <f aca="false">J92/L92</f>
        <v>220.791341600902</v>
      </c>
      <c r="Q92" s="2" t="n">
        <f aca="false">J92/I92</f>
        <v>288.002823529412</v>
      </c>
    </row>
    <row r="93" customFormat="false" ht="15" hidden="false" customHeight="false" outlineLevel="0" collapsed="false">
      <c r="A93" s="3" t="s">
        <v>277</v>
      </c>
      <c r="B93" s="3" t="s">
        <v>89</v>
      </c>
      <c r="C93" s="3" t="s">
        <v>19</v>
      </c>
      <c r="D93" s="3" t="s">
        <v>149</v>
      </c>
      <c r="E93" s="3" t="s">
        <v>278</v>
      </c>
      <c r="F93" s="3" t="s">
        <v>34</v>
      </c>
      <c r="G93" s="3" t="n">
        <v>54529</v>
      </c>
      <c r="H93" s="3" t="n">
        <v>3837</v>
      </c>
      <c r="I93" s="3" t="n">
        <v>905</v>
      </c>
      <c r="J93" s="3" t="n">
        <v>177410.9</v>
      </c>
      <c r="K93" s="3" t="n">
        <v>266722.2</v>
      </c>
      <c r="L93" s="3" t="n">
        <v>1315</v>
      </c>
      <c r="M93" s="3" t="n">
        <f aca="false">H93/G93*100</f>
        <v>7.03662271451888</v>
      </c>
      <c r="N93" s="3" t="n">
        <f aca="false">I93/H93*100</f>
        <v>23.5861350013031</v>
      </c>
      <c r="O93" s="3" t="n">
        <f aca="false">(K93-J93)/J93*100</f>
        <v>50.3414953647155</v>
      </c>
      <c r="P93" s="3" t="n">
        <f aca="false">J93/L93</f>
        <v>134.913231939164</v>
      </c>
      <c r="Q93" s="3" t="n">
        <f aca="false">J93/I93</f>
        <v>196.034143646409</v>
      </c>
    </row>
    <row r="94" customFormat="false" ht="15" hidden="false" customHeight="false" outlineLevel="0" collapsed="false">
      <c r="A94" s="2" t="s">
        <v>279</v>
      </c>
      <c r="B94" s="2" t="s">
        <v>60</v>
      </c>
      <c r="C94" s="2" t="s">
        <v>61</v>
      </c>
      <c r="D94" s="2" t="s">
        <v>280</v>
      </c>
      <c r="E94" s="2" t="s">
        <v>37</v>
      </c>
      <c r="F94" s="2" t="s">
        <v>64</v>
      </c>
      <c r="G94" s="2" t="n">
        <v>92121</v>
      </c>
      <c r="H94" s="2" t="n">
        <v>2249</v>
      </c>
      <c r="I94" s="2" t="n">
        <v>169</v>
      </c>
      <c r="J94" s="2" t="n">
        <v>176260.72</v>
      </c>
      <c r="K94" s="2" t="n">
        <v>549942.13</v>
      </c>
      <c r="L94" s="2" t="n">
        <v>303</v>
      </c>
      <c r="M94" s="2" t="n">
        <f aca="false">H94/G94*100</f>
        <v>2.44135430575005</v>
      </c>
      <c r="N94" s="2" t="n">
        <f aca="false">I94/H94*100</f>
        <v>7.51445086705202</v>
      </c>
      <c r="O94" s="2" t="n">
        <f aca="false">(K94-J94)/J94*100</f>
        <v>212.004926565601</v>
      </c>
      <c r="P94" s="2" t="n">
        <f aca="false">J94/L94</f>
        <v>581.718547854786</v>
      </c>
      <c r="Q94" s="2" t="n">
        <f aca="false">J94/I94</f>
        <v>1042.96284023669</v>
      </c>
    </row>
    <row r="95" customFormat="false" ht="15" hidden="false" customHeight="false" outlineLevel="0" collapsed="false">
      <c r="A95" s="3" t="s">
        <v>281</v>
      </c>
      <c r="B95" s="3" t="s">
        <v>98</v>
      </c>
      <c r="C95" s="3" t="s">
        <v>61</v>
      </c>
      <c r="D95" s="3" t="s">
        <v>282</v>
      </c>
      <c r="E95" s="3" t="s">
        <v>283</v>
      </c>
      <c r="F95" s="3" t="s">
        <v>42</v>
      </c>
      <c r="G95" s="3" t="n">
        <v>124235</v>
      </c>
      <c r="H95" s="3" t="n">
        <v>13574</v>
      </c>
      <c r="I95" s="3" t="n">
        <v>1535</v>
      </c>
      <c r="J95" s="3" t="n">
        <v>198994.54</v>
      </c>
      <c r="K95" s="3" t="n">
        <v>588318.09</v>
      </c>
      <c r="L95" s="3" t="n">
        <v>2027</v>
      </c>
      <c r="M95" s="3" t="n">
        <f aca="false">H95/G95*100</f>
        <v>10.9260675333038</v>
      </c>
      <c r="N95" s="3" t="n">
        <f aca="false">I95/H95*100</f>
        <v>11.3083836746722</v>
      </c>
      <c r="O95" s="3" t="n">
        <f aca="false">(K95-J95)/J95*100</f>
        <v>195.645342832019</v>
      </c>
      <c r="P95" s="3" t="n">
        <f aca="false">J95/L95</f>
        <v>98.1719486926492</v>
      </c>
      <c r="Q95" s="3" t="n">
        <f aca="false">J95/I95</f>
        <v>129.638136807818</v>
      </c>
    </row>
    <row r="96" customFormat="false" ht="15" hidden="false" customHeight="false" outlineLevel="0" collapsed="false">
      <c r="A96" s="2" t="s">
        <v>284</v>
      </c>
      <c r="B96" s="2" t="s">
        <v>117</v>
      </c>
      <c r="C96" s="2" t="s">
        <v>31</v>
      </c>
      <c r="D96" s="2" t="s">
        <v>285</v>
      </c>
      <c r="E96" s="2" t="s">
        <v>226</v>
      </c>
      <c r="F96" s="2" t="s">
        <v>28</v>
      </c>
      <c r="G96" s="2" t="n">
        <v>48960</v>
      </c>
      <c r="H96" s="2" t="n">
        <v>1246</v>
      </c>
      <c r="I96" s="2" t="n">
        <v>107</v>
      </c>
      <c r="J96" s="2" t="n">
        <v>101995.79</v>
      </c>
      <c r="K96" s="2" t="n">
        <v>160763.36</v>
      </c>
      <c r="L96" s="2" t="n">
        <v>168</v>
      </c>
      <c r="M96" s="2" t="n">
        <f aca="false">H96/G96*100</f>
        <v>2.54493464052288</v>
      </c>
      <c r="N96" s="2" t="n">
        <f aca="false">I96/H96*100</f>
        <v>8.58747993579454</v>
      </c>
      <c r="O96" s="2" t="n">
        <f aca="false">(K96-J96)/J96*100</f>
        <v>57.6176428458469</v>
      </c>
      <c r="P96" s="2" t="n">
        <f aca="false">J96/L96</f>
        <v>607.117797619048</v>
      </c>
      <c r="Q96" s="2" t="n">
        <f aca="false">J96/I96</f>
        <v>953.231682242991</v>
      </c>
    </row>
    <row r="97" customFormat="false" ht="15" hidden="false" customHeight="false" outlineLevel="0" collapsed="false">
      <c r="A97" s="3" t="s">
        <v>286</v>
      </c>
      <c r="B97" s="3" t="s">
        <v>85</v>
      </c>
      <c r="C97" s="3" t="s">
        <v>25</v>
      </c>
      <c r="D97" s="3" t="s">
        <v>115</v>
      </c>
      <c r="E97" s="3" t="s">
        <v>287</v>
      </c>
      <c r="F97" s="3" t="s">
        <v>34</v>
      </c>
      <c r="G97" s="3" t="n">
        <v>195867</v>
      </c>
      <c r="H97" s="3" t="n">
        <v>14902</v>
      </c>
      <c r="I97" s="3" t="n">
        <v>2109</v>
      </c>
      <c r="J97" s="3" t="n">
        <v>35810.81</v>
      </c>
      <c r="K97" s="3" t="n">
        <v>102256.23</v>
      </c>
      <c r="L97" s="3" t="n">
        <v>2780</v>
      </c>
      <c r="M97" s="3" t="n">
        <f aca="false">H97/G97*100</f>
        <v>7.608223947883</v>
      </c>
      <c r="N97" s="3" t="n">
        <f aca="false">I97/H97*100</f>
        <v>14.152462756677</v>
      </c>
      <c r="O97" s="3" t="n">
        <f aca="false">(K97-J97)/J97*100</f>
        <v>185.54570533311</v>
      </c>
      <c r="P97" s="3" t="n">
        <f aca="false">J97/L97</f>
        <v>12.8815863309353</v>
      </c>
      <c r="Q97" s="3" t="n">
        <f aca="false">J97/I97</f>
        <v>16.9799952584163</v>
      </c>
    </row>
    <row r="98" customFormat="false" ht="15" hidden="false" customHeight="false" outlineLevel="0" collapsed="false">
      <c r="A98" s="2" t="s">
        <v>288</v>
      </c>
      <c r="B98" s="2" t="s">
        <v>66</v>
      </c>
      <c r="C98" s="2" t="s">
        <v>61</v>
      </c>
      <c r="D98" s="2" t="s">
        <v>289</v>
      </c>
      <c r="E98" s="2" t="s">
        <v>290</v>
      </c>
      <c r="F98" s="2" t="s">
        <v>22</v>
      </c>
      <c r="G98" s="2" t="n">
        <v>54117</v>
      </c>
      <c r="H98" s="2" t="n">
        <v>5140</v>
      </c>
      <c r="I98" s="2" t="n">
        <v>1102</v>
      </c>
      <c r="J98" s="2" t="n">
        <v>119200.77</v>
      </c>
      <c r="K98" s="2" t="n">
        <v>324847.92</v>
      </c>
      <c r="L98" s="2" t="n">
        <v>1509</v>
      </c>
      <c r="M98" s="2" t="n">
        <f aca="false">H98/G98*100</f>
        <v>9.49793964927842</v>
      </c>
      <c r="N98" s="2" t="n">
        <f aca="false">I98/H98*100</f>
        <v>21.4396887159533</v>
      </c>
      <c r="O98" s="2" t="n">
        <f aca="false">(K98-J98)/J98*100</f>
        <v>172.521662402013</v>
      </c>
      <c r="P98" s="2" t="n">
        <f aca="false">J98/L98</f>
        <v>78.9932206759443</v>
      </c>
      <c r="Q98" s="2" t="n">
        <f aca="false">J98/I98</f>
        <v>108.167667876588</v>
      </c>
    </row>
    <row r="99" customFormat="false" ht="15" hidden="false" customHeight="false" outlineLevel="0" collapsed="false">
      <c r="A99" s="3" t="s">
        <v>291</v>
      </c>
      <c r="B99" s="3" t="s">
        <v>18</v>
      </c>
      <c r="C99" s="3" t="s">
        <v>19</v>
      </c>
      <c r="D99" s="3" t="s">
        <v>292</v>
      </c>
      <c r="E99" s="3" t="s">
        <v>293</v>
      </c>
      <c r="F99" s="3" t="s">
        <v>42</v>
      </c>
      <c r="G99" s="3" t="n">
        <v>30141</v>
      </c>
      <c r="H99" s="3" t="n">
        <v>1344</v>
      </c>
      <c r="I99" s="3" t="n">
        <v>201</v>
      </c>
      <c r="J99" s="3" t="n">
        <v>32446.47</v>
      </c>
      <c r="K99" s="3" t="n">
        <v>63462.47</v>
      </c>
      <c r="L99" s="3" t="n">
        <v>286</v>
      </c>
      <c r="M99" s="3" t="n">
        <f aca="false">H99/G99*100</f>
        <v>4.45904250024883</v>
      </c>
      <c r="N99" s="3" t="n">
        <f aca="false">I99/H99*100</f>
        <v>14.9553571428571</v>
      </c>
      <c r="O99" s="3" t="n">
        <f aca="false">(K99-J99)/J99*100</f>
        <v>95.5912923655485</v>
      </c>
      <c r="P99" s="3" t="n">
        <f aca="false">J99/L99</f>
        <v>113.449195804196</v>
      </c>
      <c r="Q99" s="3" t="n">
        <f aca="false">J99/I99</f>
        <v>161.425223880597</v>
      </c>
    </row>
    <row r="100" customFormat="false" ht="15" hidden="false" customHeight="false" outlineLevel="0" collapsed="false">
      <c r="A100" s="2" t="s">
        <v>294</v>
      </c>
      <c r="B100" s="2" t="s">
        <v>60</v>
      </c>
      <c r="C100" s="2" t="s">
        <v>61</v>
      </c>
      <c r="D100" s="2" t="s">
        <v>295</v>
      </c>
      <c r="E100" s="2" t="s">
        <v>296</v>
      </c>
      <c r="F100" s="2" t="s">
        <v>28</v>
      </c>
      <c r="G100" s="2" t="n">
        <v>94813</v>
      </c>
      <c r="H100" s="2" t="n">
        <v>3354</v>
      </c>
      <c r="I100" s="2" t="n">
        <v>222</v>
      </c>
      <c r="J100" s="2" t="n">
        <v>168679.36</v>
      </c>
      <c r="K100" s="2" t="n">
        <v>458291.78</v>
      </c>
      <c r="L100" s="2" t="n">
        <v>347</v>
      </c>
      <c r="M100" s="2" t="n">
        <f aca="false">H100/G100*100</f>
        <v>3.53748958476158</v>
      </c>
      <c r="N100" s="2" t="n">
        <f aca="false">I100/H100*100</f>
        <v>6.61896243291592</v>
      </c>
      <c r="O100" s="2" t="n">
        <f aca="false">(K100-J100)/J100*100</f>
        <v>171.694047214787</v>
      </c>
      <c r="P100" s="2" t="n">
        <f aca="false">J100/L100</f>
        <v>486.107665706052</v>
      </c>
      <c r="Q100" s="2" t="n">
        <f aca="false">J100/I100</f>
        <v>759.816936936937</v>
      </c>
    </row>
    <row r="101" customFormat="false" ht="15" hidden="false" customHeight="false" outlineLevel="0" collapsed="false">
      <c r="A101" s="3" t="s">
        <v>297</v>
      </c>
      <c r="B101" s="3" t="s">
        <v>60</v>
      </c>
      <c r="C101" s="3" t="s">
        <v>61</v>
      </c>
      <c r="D101" s="3" t="s">
        <v>278</v>
      </c>
      <c r="E101" s="3" t="s">
        <v>122</v>
      </c>
      <c r="F101" s="3" t="s">
        <v>34</v>
      </c>
      <c r="G101" s="3" t="n">
        <v>182011</v>
      </c>
      <c r="H101" s="3" t="n">
        <v>14967</v>
      </c>
      <c r="I101" s="3" t="n">
        <v>2104</v>
      </c>
      <c r="J101" s="3" t="n">
        <v>190272.4</v>
      </c>
      <c r="K101" s="3" t="n">
        <v>665875.11</v>
      </c>
      <c r="L101" s="3" t="n">
        <v>4051</v>
      </c>
      <c r="M101" s="3" t="n">
        <f aca="false">H101/G101*100</f>
        <v>8.22312937130173</v>
      </c>
      <c r="N101" s="3" t="n">
        <f aca="false">I101/H101*100</f>
        <v>14.0575933720853</v>
      </c>
      <c r="O101" s="3" t="n">
        <f aca="false">(K101-J101)/J101*100</f>
        <v>249.958853727603</v>
      </c>
      <c r="P101" s="3" t="n">
        <f aca="false">J101/L101</f>
        <v>46.969242162429</v>
      </c>
      <c r="Q101" s="3" t="n">
        <f aca="false">J101/I101</f>
        <v>90.4336501901141</v>
      </c>
    </row>
    <row r="102" customFormat="false" ht="15" hidden="false" customHeight="false" outlineLevel="0" collapsed="false">
      <c r="A102" s="2" t="s">
        <v>298</v>
      </c>
      <c r="B102" s="2" t="s">
        <v>30</v>
      </c>
      <c r="C102" s="2" t="s">
        <v>31</v>
      </c>
      <c r="D102" s="2" t="s">
        <v>299</v>
      </c>
      <c r="E102" s="2" t="s">
        <v>108</v>
      </c>
      <c r="F102" s="2" t="s">
        <v>34</v>
      </c>
      <c r="G102" s="2" t="n">
        <v>94717</v>
      </c>
      <c r="H102" s="2" t="n">
        <v>9454</v>
      </c>
      <c r="I102" s="2" t="n">
        <v>1879</v>
      </c>
      <c r="J102" s="2" t="n">
        <v>116223.9</v>
      </c>
      <c r="K102" s="2" t="n">
        <v>300470.22</v>
      </c>
      <c r="L102" s="2" t="n">
        <v>2393</v>
      </c>
      <c r="M102" s="2" t="n">
        <f aca="false">H102/G102*100</f>
        <v>9.98131275272654</v>
      </c>
      <c r="N102" s="2" t="n">
        <f aca="false">I102/H102*100</f>
        <v>19.8751851068331</v>
      </c>
      <c r="O102" s="2" t="n">
        <f aca="false">(K102-J102)/J102*100</f>
        <v>158.527049944116</v>
      </c>
      <c r="P102" s="2" t="n">
        <f aca="false">J102/L102</f>
        <v>48.5682824905976</v>
      </c>
      <c r="Q102" s="2" t="n">
        <f aca="false">J102/I102</f>
        <v>61.8541245343268</v>
      </c>
    </row>
    <row r="103" customFormat="false" ht="15" hidden="false" customHeight="false" outlineLevel="0" collapsed="false">
      <c r="A103" s="3" t="s">
        <v>300</v>
      </c>
      <c r="B103" s="3" t="s">
        <v>73</v>
      </c>
      <c r="C103" s="3" t="s">
        <v>25</v>
      </c>
      <c r="D103" s="3" t="s">
        <v>219</v>
      </c>
      <c r="E103" s="3" t="s">
        <v>175</v>
      </c>
      <c r="F103" s="3" t="s">
        <v>28</v>
      </c>
      <c r="G103" s="3" t="n">
        <v>15377</v>
      </c>
      <c r="H103" s="3" t="n">
        <v>1618</v>
      </c>
      <c r="I103" s="3" t="n">
        <v>133</v>
      </c>
      <c r="J103" s="3" t="n">
        <v>159206.12</v>
      </c>
      <c r="K103" s="3" t="n">
        <v>295383.48</v>
      </c>
      <c r="L103" s="3" t="n">
        <v>239</v>
      </c>
      <c r="M103" s="3" t="n">
        <f aca="false">H103/G103*100</f>
        <v>10.5222084932041</v>
      </c>
      <c r="N103" s="3" t="n">
        <f aca="false">I103/H103*100</f>
        <v>8.22002472187886</v>
      </c>
      <c r="O103" s="3" t="n">
        <f aca="false">(K103-J103)/J103*100</f>
        <v>85.5352545492598</v>
      </c>
      <c r="P103" s="3" t="n">
        <f aca="false">J103/L103</f>
        <v>666.134393305439</v>
      </c>
      <c r="Q103" s="3" t="n">
        <f aca="false">J103/I103</f>
        <v>1197.0384962406</v>
      </c>
    </row>
    <row r="104" customFormat="false" ht="15" hidden="false" customHeight="false" outlineLevel="0" collapsed="false">
      <c r="A104" s="2" t="s">
        <v>301</v>
      </c>
      <c r="B104" s="2" t="s">
        <v>114</v>
      </c>
      <c r="C104" s="2" t="s">
        <v>61</v>
      </c>
      <c r="D104" s="2" t="s">
        <v>159</v>
      </c>
      <c r="E104" s="2" t="s">
        <v>79</v>
      </c>
      <c r="F104" s="2" t="s">
        <v>22</v>
      </c>
      <c r="G104" s="2" t="n">
        <v>123340</v>
      </c>
      <c r="H104" s="2" t="n">
        <v>11543</v>
      </c>
      <c r="I104" s="2" t="n">
        <v>2704</v>
      </c>
      <c r="J104" s="2" t="n">
        <v>182190.84</v>
      </c>
      <c r="K104" s="2" t="n">
        <v>471524.71</v>
      </c>
      <c r="L104" s="2" t="n">
        <v>4021</v>
      </c>
      <c r="M104" s="2" t="n">
        <f aca="false">H104/G104*100</f>
        <v>9.35868331441544</v>
      </c>
      <c r="N104" s="2" t="n">
        <f aca="false">I104/H104*100</f>
        <v>23.4254526552889</v>
      </c>
      <c r="O104" s="2" t="n">
        <f aca="false">(K104-J104)/J104*100</f>
        <v>158.808132176129</v>
      </c>
      <c r="P104" s="2" t="n">
        <f aca="false">J104/L104</f>
        <v>45.3098333747824</v>
      </c>
      <c r="Q104" s="2" t="n">
        <f aca="false">J104/I104</f>
        <v>67.3782692307692</v>
      </c>
    </row>
    <row r="105" customFormat="false" ht="15" hidden="false" customHeight="false" outlineLevel="0" collapsed="false">
      <c r="A105" s="3" t="s">
        <v>302</v>
      </c>
      <c r="B105" s="3" t="s">
        <v>18</v>
      </c>
      <c r="C105" s="3" t="s">
        <v>19</v>
      </c>
      <c r="D105" s="3" t="s">
        <v>252</v>
      </c>
      <c r="E105" s="3" t="s">
        <v>266</v>
      </c>
      <c r="F105" s="3" t="s">
        <v>34</v>
      </c>
      <c r="G105" s="3" t="n">
        <v>126770</v>
      </c>
      <c r="H105" s="3" t="n">
        <v>13759</v>
      </c>
      <c r="I105" s="3" t="n">
        <v>1999</v>
      </c>
      <c r="J105" s="3" t="n">
        <v>119165.56</v>
      </c>
      <c r="K105" s="3" t="n">
        <v>258954.19</v>
      </c>
      <c r="L105" s="3" t="n">
        <v>3608</v>
      </c>
      <c r="M105" s="3" t="n">
        <f aca="false">H105/G105*100</f>
        <v>10.8535142383845</v>
      </c>
      <c r="N105" s="3" t="n">
        <f aca="false">I105/H105*100</f>
        <v>14.5286721418708</v>
      </c>
      <c r="O105" s="3" t="n">
        <f aca="false">(K105-J105)/J105*100</f>
        <v>117.306233445301</v>
      </c>
      <c r="P105" s="3" t="n">
        <f aca="false">J105/L105</f>
        <v>33.0281485587583</v>
      </c>
      <c r="Q105" s="3" t="n">
        <f aca="false">J105/I105</f>
        <v>59.6125862931466</v>
      </c>
    </row>
    <row r="106" customFormat="false" ht="15" hidden="false" customHeight="false" outlineLevel="0" collapsed="false">
      <c r="A106" s="2" t="s">
        <v>303</v>
      </c>
      <c r="B106" s="2" t="s">
        <v>82</v>
      </c>
      <c r="C106" s="2" t="s">
        <v>25</v>
      </c>
      <c r="D106" s="2" t="s">
        <v>304</v>
      </c>
      <c r="E106" s="2" t="s">
        <v>154</v>
      </c>
      <c r="F106" s="2" t="s">
        <v>22</v>
      </c>
      <c r="G106" s="2" t="n">
        <v>34365</v>
      </c>
      <c r="H106" s="2" t="n">
        <v>826</v>
      </c>
      <c r="I106" s="2" t="n">
        <v>97</v>
      </c>
      <c r="J106" s="2" t="n">
        <v>100752.1</v>
      </c>
      <c r="K106" s="2" t="n">
        <v>172863.35</v>
      </c>
      <c r="L106" s="2" t="n">
        <v>169</v>
      </c>
      <c r="M106" s="2" t="n">
        <f aca="false">H106/G106*100</f>
        <v>2.40360832242107</v>
      </c>
      <c r="N106" s="2" t="n">
        <f aca="false">I106/H106*100</f>
        <v>11.7433414043584</v>
      </c>
      <c r="O106" s="2" t="n">
        <f aca="false">(K106-J106)/J106*100</f>
        <v>71.5729498442216</v>
      </c>
      <c r="P106" s="2" t="n">
        <f aca="false">J106/L106</f>
        <v>596.166272189349</v>
      </c>
      <c r="Q106" s="2" t="n">
        <f aca="false">J106/I106</f>
        <v>1038.68144329897</v>
      </c>
    </row>
    <row r="107" customFormat="false" ht="15" hidden="false" customHeight="false" outlineLevel="0" collapsed="false">
      <c r="A107" s="3" t="s">
        <v>305</v>
      </c>
      <c r="B107" s="3" t="s">
        <v>30</v>
      </c>
      <c r="C107" s="3" t="s">
        <v>31</v>
      </c>
      <c r="D107" s="3" t="s">
        <v>306</v>
      </c>
      <c r="E107" s="3" t="s">
        <v>131</v>
      </c>
      <c r="F107" s="3" t="s">
        <v>22</v>
      </c>
      <c r="G107" s="3" t="n">
        <v>132740</v>
      </c>
      <c r="H107" s="3" t="n">
        <v>8460</v>
      </c>
      <c r="I107" s="3" t="n">
        <v>1957</v>
      </c>
      <c r="J107" s="3" t="n">
        <v>103358.1</v>
      </c>
      <c r="K107" s="3" t="n">
        <v>159357.01</v>
      </c>
      <c r="L107" s="3" t="n">
        <v>2548</v>
      </c>
      <c r="M107" s="3" t="n">
        <f aca="false">H107/G107*100</f>
        <v>6.37336145849028</v>
      </c>
      <c r="N107" s="3" t="n">
        <f aca="false">I107/H107*100</f>
        <v>23.1323877068558</v>
      </c>
      <c r="O107" s="3" t="n">
        <f aca="false">(K107-J107)/J107*100</f>
        <v>54.1795079437412</v>
      </c>
      <c r="P107" s="3" t="n">
        <f aca="false">J107/L107</f>
        <v>40.5644034536892</v>
      </c>
      <c r="Q107" s="3" t="n">
        <f aca="false">J107/I107</f>
        <v>52.8145631067961</v>
      </c>
    </row>
    <row r="108" customFormat="false" ht="15" hidden="false" customHeight="false" outlineLevel="0" collapsed="false">
      <c r="A108" s="2" t="s">
        <v>307</v>
      </c>
      <c r="B108" s="2" t="s">
        <v>85</v>
      </c>
      <c r="C108" s="2" t="s">
        <v>25</v>
      </c>
      <c r="D108" s="2" t="s">
        <v>308</v>
      </c>
      <c r="E108" s="2" t="s">
        <v>224</v>
      </c>
      <c r="F108" s="2" t="s">
        <v>22</v>
      </c>
      <c r="G108" s="2" t="n">
        <v>159038</v>
      </c>
      <c r="H108" s="2" t="n">
        <v>3939</v>
      </c>
      <c r="I108" s="2" t="n">
        <v>257</v>
      </c>
      <c r="J108" s="2" t="n">
        <v>23342.56</v>
      </c>
      <c r="K108" s="2" t="n">
        <v>33789.62</v>
      </c>
      <c r="L108" s="2" t="n">
        <v>395</v>
      </c>
      <c r="M108" s="2" t="n">
        <f aca="false">H108/G108*100</f>
        <v>2.4767665589356</v>
      </c>
      <c r="N108" s="2" t="n">
        <f aca="false">I108/H108*100</f>
        <v>6.52449860370652</v>
      </c>
      <c r="O108" s="2" t="n">
        <f aca="false">(K108-J108)/J108*100</f>
        <v>44.7554167152189</v>
      </c>
      <c r="P108" s="2" t="n">
        <f aca="false">J108/L108</f>
        <v>59.0950886075949</v>
      </c>
      <c r="Q108" s="2" t="n">
        <f aca="false">J108/I108</f>
        <v>90.8270817120623</v>
      </c>
    </row>
    <row r="109" customFormat="false" ht="15" hidden="false" customHeight="false" outlineLevel="0" collapsed="false">
      <c r="A109" s="3" t="s">
        <v>309</v>
      </c>
      <c r="B109" s="3" t="s">
        <v>98</v>
      </c>
      <c r="C109" s="3" t="s">
        <v>61</v>
      </c>
      <c r="D109" s="3" t="s">
        <v>91</v>
      </c>
      <c r="E109" s="3" t="s">
        <v>310</v>
      </c>
      <c r="F109" s="3" t="s">
        <v>28</v>
      </c>
      <c r="G109" s="3" t="n">
        <v>76810</v>
      </c>
      <c r="H109" s="3" t="n">
        <v>6033</v>
      </c>
      <c r="I109" s="3" t="n">
        <v>1229</v>
      </c>
      <c r="J109" s="3" t="n">
        <v>18009.71</v>
      </c>
      <c r="K109" s="3" t="n">
        <v>52285.56</v>
      </c>
      <c r="L109" s="3" t="n">
        <v>1929</v>
      </c>
      <c r="M109" s="3" t="n">
        <f aca="false">H109/G109*100</f>
        <v>7.85444603567244</v>
      </c>
      <c r="N109" s="3" t="n">
        <f aca="false">I109/H109*100</f>
        <v>20.3712912315598</v>
      </c>
      <c r="O109" s="3" t="n">
        <f aca="false">(K109-J109)/J109*100</f>
        <v>190.318722511356</v>
      </c>
      <c r="P109" s="3" t="n">
        <f aca="false">J109/L109</f>
        <v>9.33629341627786</v>
      </c>
      <c r="Q109" s="3" t="n">
        <f aca="false">J109/I109</f>
        <v>14.6539544344996</v>
      </c>
    </row>
    <row r="110" customFormat="false" ht="15" hidden="false" customHeight="false" outlineLevel="0" collapsed="false">
      <c r="A110" s="2" t="s">
        <v>311</v>
      </c>
      <c r="B110" s="2" t="s">
        <v>50</v>
      </c>
      <c r="C110" s="2" t="s">
        <v>31</v>
      </c>
      <c r="D110" s="2" t="s">
        <v>312</v>
      </c>
      <c r="E110" s="2" t="s">
        <v>264</v>
      </c>
      <c r="F110" s="2" t="s">
        <v>34</v>
      </c>
      <c r="G110" s="2" t="n">
        <v>194648</v>
      </c>
      <c r="H110" s="2" t="n">
        <v>9686</v>
      </c>
      <c r="I110" s="2" t="n">
        <v>1621</v>
      </c>
      <c r="J110" s="2" t="n">
        <v>99174.66</v>
      </c>
      <c r="K110" s="2" t="n">
        <v>271897.02</v>
      </c>
      <c r="L110" s="2" t="n">
        <v>2754</v>
      </c>
      <c r="M110" s="2" t="n">
        <f aca="false">H110/G110*100</f>
        <v>4.9761620977354</v>
      </c>
      <c r="N110" s="2" t="n">
        <f aca="false">I110/H110*100</f>
        <v>16.735494528185</v>
      </c>
      <c r="O110" s="2" t="n">
        <f aca="false">(K110-J110)/J110*100</f>
        <v>174.159770247763</v>
      </c>
      <c r="P110" s="2" t="n">
        <f aca="false">J110/L110</f>
        <v>36.0111328976035</v>
      </c>
      <c r="Q110" s="2" t="n">
        <f aca="false">J110/I110</f>
        <v>61.1811597779149</v>
      </c>
    </row>
    <row r="111" customFormat="false" ht="15" hidden="false" customHeight="false" outlineLevel="0" collapsed="false">
      <c r="A111" s="3" t="s">
        <v>313</v>
      </c>
      <c r="B111" s="3" t="s">
        <v>36</v>
      </c>
      <c r="C111" s="3" t="s">
        <v>19</v>
      </c>
      <c r="D111" s="3" t="s">
        <v>289</v>
      </c>
      <c r="E111" s="3" t="s">
        <v>314</v>
      </c>
      <c r="F111" s="3" t="s">
        <v>28</v>
      </c>
      <c r="G111" s="3" t="n">
        <v>30505</v>
      </c>
      <c r="H111" s="3" t="n">
        <v>2888</v>
      </c>
      <c r="I111" s="3" t="n">
        <v>493</v>
      </c>
      <c r="J111" s="3" t="n">
        <v>176248.92</v>
      </c>
      <c r="K111" s="3" t="n">
        <v>254602.23</v>
      </c>
      <c r="L111" s="3" t="n">
        <v>802</v>
      </c>
      <c r="M111" s="3" t="n">
        <f aca="false">H111/G111*100</f>
        <v>9.4673004425504</v>
      </c>
      <c r="N111" s="3" t="n">
        <f aca="false">I111/H111*100</f>
        <v>17.0706371191136</v>
      </c>
      <c r="O111" s="3" t="n">
        <f aca="false">(K111-J111)/J111*100</f>
        <v>44.4560511349516</v>
      </c>
      <c r="P111" s="3" t="n">
        <f aca="false">J111/L111</f>
        <v>219.76174563591</v>
      </c>
      <c r="Q111" s="3" t="n">
        <f aca="false">J111/I111</f>
        <v>357.502880324544</v>
      </c>
    </row>
    <row r="112" customFormat="false" ht="15" hidden="false" customHeight="false" outlineLevel="0" collapsed="false">
      <c r="A112" s="2" t="s">
        <v>315</v>
      </c>
      <c r="B112" s="2" t="s">
        <v>117</v>
      </c>
      <c r="C112" s="2" t="s">
        <v>31</v>
      </c>
      <c r="D112" s="2" t="s">
        <v>259</v>
      </c>
      <c r="E112" s="2" t="s">
        <v>316</v>
      </c>
      <c r="F112" s="2" t="s">
        <v>22</v>
      </c>
      <c r="G112" s="2" t="n">
        <v>181914</v>
      </c>
      <c r="H112" s="2" t="n">
        <v>12317</v>
      </c>
      <c r="I112" s="2" t="n">
        <v>2320</v>
      </c>
      <c r="J112" s="2" t="n">
        <v>175724.4</v>
      </c>
      <c r="K112" s="2" t="n">
        <v>601214.46</v>
      </c>
      <c r="L112" s="2" t="n">
        <v>3901</v>
      </c>
      <c r="M112" s="2" t="n">
        <f aca="false">H112/G112*100</f>
        <v>6.77078179799246</v>
      </c>
      <c r="N112" s="2" t="n">
        <f aca="false">I112/H112*100</f>
        <v>18.8357554599334</v>
      </c>
      <c r="O112" s="2" t="n">
        <f aca="false">(K112-J112)/J112*100</f>
        <v>242.134877114391</v>
      </c>
      <c r="P112" s="2" t="n">
        <f aca="false">J112/L112</f>
        <v>45.0459882081518</v>
      </c>
      <c r="Q112" s="2" t="n">
        <f aca="false">J112/I112</f>
        <v>75.743275862069</v>
      </c>
    </row>
    <row r="113" customFormat="false" ht="15" hidden="false" customHeight="false" outlineLevel="0" collapsed="false">
      <c r="A113" s="3" t="s">
        <v>317</v>
      </c>
      <c r="B113" s="3" t="s">
        <v>114</v>
      </c>
      <c r="C113" s="3" t="s">
        <v>61</v>
      </c>
      <c r="D113" s="3" t="s">
        <v>227</v>
      </c>
      <c r="E113" s="3" t="s">
        <v>247</v>
      </c>
      <c r="F113" s="3" t="s">
        <v>34</v>
      </c>
      <c r="G113" s="3" t="n">
        <v>89339</v>
      </c>
      <c r="H113" s="3" t="n">
        <v>2569</v>
      </c>
      <c r="I113" s="3" t="n">
        <v>197</v>
      </c>
      <c r="J113" s="3" t="n">
        <v>50298.39</v>
      </c>
      <c r="K113" s="3" t="n">
        <v>154754.41</v>
      </c>
      <c r="L113" s="3" t="n">
        <v>346</v>
      </c>
      <c r="M113" s="3" t="n">
        <f aca="false">H113/G113*100</f>
        <v>2.87556386348627</v>
      </c>
      <c r="N113" s="3" t="n">
        <f aca="false">I113/H113*100</f>
        <v>7.6683534449202</v>
      </c>
      <c r="O113" s="3" t="n">
        <f aca="false">(K113-J113)/J113*100</f>
        <v>207.672690915157</v>
      </c>
      <c r="P113" s="3" t="n">
        <f aca="false">J113/L113</f>
        <v>145.371069364162</v>
      </c>
      <c r="Q113" s="3" t="n">
        <f aca="false">J113/I113</f>
        <v>255.321776649746</v>
      </c>
    </row>
    <row r="114" customFormat="false" ht="15" hidden="false" customHeight="false" outlineLevel="0" collapsed="false">
      <c r="A114" s="2" t="s">
        <v>318</v>
      </c>
      <c r="B114" s="2" t="s">
        <v>24</v>
      </c>
      <c r="C114" s="2" t="s">
        <v>25</v>
      </c>
      <c r="D114" s="2" t="s">
        <v>128</v>
      </c>
      <c r="E114" s="2" t="s">
        <v>87</v>
      </c>
      <c r="F114" s="2" t="s">
        <v>42</v>
      </c>
      <c r="G114" s="2" t="n">
        <v>180325</v>
      </c>
      <c r="H114" s="2" t="n">
        <v>7966</v>
      </c>
      <c r="I114" s="2" t="n">
        <v>1739</v>
      </c>
      <c r="J114" s="2" t="n">
        <v>173765.03</v>
      </c>
      <c r="K114" s="2" t="n">
        <v>423767.7</v>
      </c>
      <c r="L114" s="2" t="n">
        <v>2206</v>
      </c>
      <c r="M114" s="2" t="n">
        <f aca="false">H114/G114*100</f>
        <v>4.4175793705809</v>
      </c>
      <c r="N114" s="2" t="n">
        <f aca="false">I114/H114*100</f>
        <v>21.8302786844087</v>
      </c>
      <c r="O114" s="2" t="n">
        <f aca="false">(K114-J114)/J114*100</f>
        <v>143.873983159903</v>
      </c>
      <c r="P114" s="2" t="n">
        <f aca="false">J114/L114</f>
        <v>78.7692792384406</v>
      </c>
      <c r="Q114" s="2" t="n">
        <f aca="false">J114/I114</f>
        <v>99.9223864289822</v>
      </c>
    </row>
    <row r="115" customFormat="false" ht="15" hidden="false" customHeight="false" outlineLevel="0" collapsed="false">
      <c r="A115" s="3" t="s">
        <v>319</v>
      </c>
      <c r="B115" s="3" t="s">
        <v>73</v>
      </c>
      <c r="C115" s="3" t="s">
        <v>25</v>
      </c>
      <c r="D115" s="3" t="s">
        <v>320</v>
      </c>
      <c r="E115" s="3" t="s">
        <v>181</v>
      </c>
      <c r="F115" s="3" t="s">
        <v>34</v>
      </c>
      <c r="G115" s="3" t="n">
        <v>40528</v>
      </c>
      <c r="H115" s="3" t="n">
        <v>1483</v>
      </c>
      <c r="I115" s="3" t="n">
        <v>119</v>
      </c>
      <c r="J115" s="3" t="n">
        <v>144980.65</v>
      </c>
      <c r="K115" s="3" t="n">
        <v>495383.48</v>
      </c>
      <c r="L115" s="3" t="n">
        <v>187</v>
      </c>
      <c r="M115" s="3" t="n">
        <f aca="false">H115/G115*100</f>
        <v>3.65919857876036</v>
      </c>
      <c r="N115" s="3" t="n">
        <f aca="false">I115/H115*100</f>
        <v>8.02427511800405</v>
      </c>
      <c r="O115" s="3" t="n">
        <f aca="false">(K115-J115)/J115*100</f>
        <v>241.689377168608</v>
      </c>
      <c r="P115" s="3" t="n">
        <f aca="false">J115/L115</f>
        <v>775.297593582888</v>
      </c>
      <c r="Q115" s="3" t="n">
        <f aca="false">J115/I115</f>
        <v>1218.32478991597</v>
      </c>
    </row>
    <row r="116" customFormat="false" ht="15" hidden="false" customHeight="false" outlineLevel="0" collapsed="false">
      <c r="A116" s="2" t="s">
        <v>321</v>
      </c>
      <c r="B116" s="2" t="s">
        <v>89</v>
      </c>
      <c r="C116" s="2" t="s">
        <v>19</v>
      </c>
      <c r="D116" s="2" t="s">
        <v>322</v>
      </c>
      <c r="E116" s="2" t="s">
        <v>204</v>
      </c>
      <c r="F116" s="2" t="s">
        <v>42</v>
      </c>
      <c r="G116" s="2" t="n">
        <v>159272</v>
      </c>
      <c r="H116" s="2" t="n">
        <v>16396</v>
      </c>
      <c r="I116" s="2" t="n">
        <v>2104</v>
      </c>
      <c r="J116" s="2" t="n">
        <v>76762.26</v>
      </c>
      <c r="K116" s="2" t="n">
        <v>110240.29</v>
      </c>
      <c r="L116" s="2" t="n">
        <v>3951</v>
      </c>
      <c r="M116" s="2" t="n">
        <f aca="false">H116/G116*100</f>
        <v>10.2943392435582</v>
      </c>
      <c r="N116" s="2" t="n">
        <f aca="false">I116/H116*100</f>
        <v>12.8323981458892</v>
      </c>
      <c r="O116" s="2" t="n">
        <f aca="false">(K116-J116)/J116*100</f>
        <v>43.6126164081151</v>
      </c>
      <c r="P116" s="2" t="n">
        <f aca="false">J116/L116</f>
        <v>19.4285649202734</v>
      </c>
      <c r="Q116" s="2" t="n">
        <f aca="false">J116/I116</f>
        <v>36.483963878327</v>
      </c>
    </row>
    <row r="117" customFormat="false" ht="15" hidden="false" customHeight="false" outlineLevel="0" collapsed="false">
      <c r="A117" s="3" t="s">
        <v>323</v>
      </c>
      <c r="B117" s="3" t="s">
        <v>60</v>
      </c>
      <c r="C117" s="3" t="s">
        <v>61</v>
      </c>
      <c r="D117" s="3" t="s">
        <v>259</v>
      </c>
      <c r="E117" s="3" t="s">
        <v>166</v>
      </c>
      <c r="F117" s="3" t="s">
        <v>28</v>
      </c>
      <c r="G117" s="3" t="n">
        <v>137794</v>
      </c>
      <c r="H117" s="3" t="n">
        <v>8263</v>
      </c>
      <c r="I117" s="3" t="n">
        <v>1261</v>
      </c>
      <c r="J117" s="3" t="n">
        <v>149053.62</v>
      </c>
      <c r="K117" s="3" t="n">
        <v>499500.47</v>
      </c>
      <c r="L117" s="3" t="n">
        <v>2426</v>
      </c>
      <c r="M117" s="3" t="n">
        <f aca="false">H117/G117*100</f>
        <v>5.99663265454229</v>
      </c>
      <c r="N117" s="3" t="n">
        <f aca="false">I117/H117*100</f>
        <v>15.2608011618056</v>
      </c>
      <c r="O117" s="3" t="n">
        <f aca="false">(K117-J117)/J117*100</f>
        <v>235.114618484274</v>
      </c>
      <c r="P117" s="3" t="n">
        <f aca="false">J117/L117</f>
        <v>61.4400741962077</v>
      </c>
      <c r="Q117" s="3" t="n">
        <f aca="false">J117/I117</f>
        <v>118.202712133228</v>
      </c>
    </row>
    <row r="118" customFormat="false" ht="15" hidden="false" customHeight="false" outlineLevel="0" collapsed="false">
      <c r="A118" s="2" t="s">
        <v>324</v>
      </c>
      <c r="B118" s="2" t="s">
        <v>50</v>
      </c>
      <c r="C118" s="2" t="s">
        <v>31</v>
      </c>
      <c r="D118" s="2" t="s">
        <v>52</v>
      </c>
      <c r="E118" s="2" t="s">
        <v>325</v>
      </c>
      <c r="F118" s="2" t="s">
        <v>64</v>
      </c>
      <c r="G118" s="2" t="n">
        <v>161100</v>
      </c>
      <c r="H118" s="2" t="n">
        <v>8310</v>
      </c>
      <c r="I118" s="2" t="n">
        <v>521</v>
      </c>
      <c r="J118" s="2" t="n">
        <v>180182.28</v>
      </c>
      <c r="K118" s="2" t="n">
        <v>389088.53</v>
      </c>
      <c r="L118" s="2" t="n">
        <v>822</v>
      </c>
      <c r="M118" s="2" t="n">
        <f aca="false">H118/G118*100</f>
        <v>5.15828677839851</v>
      </c>
      <c r="N118" s="2" t="n">
        <f aca="false">I118/H118*100</f>
        <v>6.26955475330927</v>
      </c>
      <c r="O118" s="2" t="n">
        <f aca="false">(K118-J118)/J118*100</f>
        <v>115.941617566389</v>
      </c>
      <c r="P118" s="2" t="n">
        <f aca="false">J118/L118</f>
        <v>219.199854014599</v>
      </c>
      <c r="Q118" s="2" t="n">
        <f aca="false">J118/I118</f>
        <v>345.839309021113</v>
      </c>
    </row>
    <row r="119" customFormat="false" ht="15" hidden="false" customHeight="false" outlineLevel="0" collapsed="false">
      <c r="A119" s="3" t="s">
        <v>326</v>
      </c>
      <c r="B119" s="3" t="s">
        <v>82</v>
      </c>
      <c r="C119" s="3" t="s">
        <v>25</v>
      </c>
      <c r="D119" s="3" t="s">
        <v>41</v>
      </c>
      <c r="E119" s="3" t="s">
        <v>327</v>
      </c>
      <c r="F119" s="3" t="s">
        <v>64</v>
      </c>
      <c r="G119" s="3" t="n">
        <v>15454</v>
      </c>
      <c r="H119" s="3" t="n">
        <v>558</v>
      </c>
      <c r="I119" s="3" t="n">
        <v>108</v>
      </c>
      <c r="J119" s="3" t="n">
        <v>101809.48</v>
      </c>
      <c r="K119" s="3" t="n">
        <v>224760.17</v>
      </c>
      <c r="L119" s="3" t="n">
        <v>173</v>
      </c>
      <c r="M119" s="3" t="n">
        <f aca="false">H119/G119*100</f>
        <v>3.61071567231785</v>
      </c>
      <c r="N119" s="3" t="n">
        <f aca="false">I119/H119*100</f>
        <v>19.3548387096774</v>
      </c>
      <c r="O119" s="3" t="n">
        <f aca="false">(K119-J119)/J119*100</f>
        <v>120.765463098328</v>
      </c>
      <c r="P119" s="3" t="n">
        <f aca="false">J119/L119</f>
        <v>588.494104046243</v>
      </c>
      <c r="Q119" s="3" t="n">
        <f aca="false">J119/I119</f>
        <v>942.68037037037</v>
      </c>
    </row>
    <row r="120" customFormat="false" ht="15" hidden="false" customHeight="false" outlineLevel="0" collapsed="false">
      <c r="A120" s="2" t="s">
        <v>328</v>
      </c>
      <c r="B120" s="2" t="s">
        <v>24</v>
      </c>
      <c r="C120" s="2" t="s">
        <v>25</v>
      </c>
      <c r="D120" s="2" t="s">
        <v>191</v>
      </c>
      <c r="E120" s="2" t="s">
        <v>329</v>
      </c>
      <c r="F120" s="2" t="s">
        <v>34</v>
      </c>
      <c r="G120" s="2" t="n">
        <v>86911</v>
      </c>
      <c r="H120" s="2" t="n">
        <v>8021</v>
      </c>
      <c r="I120" s="2" t="n">
        <v>1027</v>
      </c>
      <c r="J120" s="2" t="n">
        <v>92119.3</v>
      </c>
      <c r="K120" s="2" t="n">
        <v>309958.7</v>
      </c>
      <c r="L120" s="2" t="n">
        <v>1768</v>
      </c>
      <c r="M120" s="2" t="n">
        <f aca="false">H120/G120*100</f>
        <v>9.22898137174811</v>
      </c>
      <c r="N120" s="2" t="n">
        <f aca="false">I120/H120*100</f>
        <v>12.8038897893031</v>
      </c>
      <c r="O120" s="2" t="n">
        <f aca="false">(K120-J120)/J120*100</f>
        <v>236.475309734225</v>
      </c>
      <c r="P120" s="2" t="n">
        <f aca="false">J120/L120</f>
        <v>52.1036764705882</v>
      </c>
      <c r="Q120" s="2" t="n">
        <f aca="false">J120/I120</f>
        <v>89.6974683544304</v>
      </c>
    </row>
    <row r="121" customFormat="false" ht="15" hidden="false" customHeight="false" outlineLevel="0" collapsed="false">
      <c r="A121" s="3" t="s">
        <v>330</v>
      </c>
      <c r="B121" s="3" t="s">
        <v>89</v>
      </c>
      <c r="C121" s="3" t="s">
        <v>19</v>
      </c>
      <c r="D121" s="3" t="s">
        <v>331</v>
      </c>
      <c r="E121" s="3" t="s">
        <v>232</v>
      </c>
      <c r="F121" s="3" t="s">
        <v>42</v>
      </c>
      <c r="G121" s="3" t="n">
        <v>191062</v>
      </c>
      <c r="H121" s="3" t="n">
        <v>18136</v>
      </c>
      <c r="I121" s="3" t="n">
        <v>3326</v>
      </c>
      <c r="J121" s="3" t="n">
        <v>38882.86</v>
      </c>
      <c r="K121" s="3" t="n">
        <v>64499.42</v>
      </c>
      <c r="L121" s="3" t="n">
        <v>5602</v>
      </c>
      <c r="M121" s="3" t="n">
        <f aca="false">H121/G121*100</f>
        <v>9.49220671823806</v>
      </c>
      <c r="N121" s="3" t="n">
        <f aca="false">I121/H121*100</f>
        <v>18.3392148213498</v>
      </c>
      <c r="O121" s="3" t="n">
        <f aca="false">(K121-J121)/J121*100</f>
        <v>65.881367780045</v>
      </c>
      <c r="P121" s="3" t="n">
        <f aca="false">J121/L121</f>
        <v>6.94088896822563</v>
      </c>
      <c r="Q121" s="3" t="n">
        <f aca="false">J121/I121</f>
        <v>11.690577269994</v>
      </c>
    </row>
    <row r="122" customFormat="false" ht="15" hidden="false" customHeight="false" outlineLevel="0" collapsed="false">
      <c r="A122" s="2" t="s">
        <v>332</v>
      </c>
      <c r="B122" s="2" t="s">
        <v>66</v>
      </c>
      <c r="C122" s="2" t="s">
        <v>61</v>
      </c>
      <c r="D122" s="2" t="s">
        <v>80</v>
      </c>
      <c r="E122" s="2" t="s">
        <v>310</v>
      </c>
      <c r="F122" s="2" t="s">
        <v>28</v>
      </c>
      <c r="G122" s="2" t="n">
        <v>64901</v>
      </c>
      <c r="H122" s="2" t="n">
        <v>4911</v>
      </c>
      <c r="I122" s="2" t="n">
        <v>1227</v>
      </c>
      <c r="J122" s="2" t="n">
        <v>81375.55</v>
      </c>
      <c r="K122" s="2" t="n">
        <v>146464.47</v>
      </c>
      <c r="L122" s="2" t="n">
        <v>2136</v>
      </c>
      <c r="M122" s="2" t="n">
        <f aca="false">H122/G122*100</f>
        <v>7.56690960077657</v>
      </c>
      <c r="N122" s="2" t="n">
        <f aca="false">I122/H122*100</f>
        <v>24.9847281612706</v>
      </c>
      <c r="O122" s="2" t="n">
        <f aca="false">(K122-J122)/J122*100</f>
        <v>79.9858434136544</v>
      </c>
      <c r="P122" s="2" t="n">
        <f aca="false">J122/L122</f>
        <v>38.0971676029963</v>
      </c>
      <c r="Q122" s="2" t="n">
        <f aca="false">J122/I122</f>
        <v>66.3207416462918</v>
      </c>
    </row>
    <row r="123" customFormat="false" ht="15" hidden="false" customHeight="false" outlineLevel="0" collapsed="false">
      <c r="A123" s="3" t="s">
        <v>333</v>
      </c>
      <c r="B123" s="3" t="s">
        <v>30</v>
      </c>
      <c r="C123" s="3" t="s">
        <v>31</v>
      </c>
      <c r="D123" s="3" t="s">
        <v>334</v>
      </c>
      <c r="E123" s="3" t="s">
        <v>335</v>
      </c>
      <c r="F123" s="3" t="s">
        <v>22</v>
      </c>
      <c r="G123" s="3" t="n">
        <v>122884</v>
      </c>
      <c r="H123" s="3" t="n">
        <v>3858</v>
      </c>
      <c r="I123" s="3" t="n">
        <v>367</v>
      </c>
      <c r="J123" s="3" t="n">
        <v>118966.57</v>
      </c>
      <c r="K123" s="3" t="n">
        <v>275840.67</v>
      </c>
      <c r="L123" s="3" t="n">
        <v>732</v>
      </c>
      <c r="M123" s="3" t="n">
        <f aca="false">H123/G123*100</f>
        <v>3.13954623872921</v>
      </c>
      <c r="N123" s="3" t="n">
        <f aca="false">I123/H123*100</f>
        <v>9.51270088128564</v>
      </c>
      <c r="O123" s="3" t="n">
        <f aca="false">(K123-J123)/J123*100</f>
        <v>131.864018606235</v>
      </c>
      <c r="P123" s="3" t="n">
        <f aca="false">J123/L123</f>
        <v>162.522636612022</v>
      </c>
      <c r="Q123" s="3" t="n">
        <f aca="false">J123/I123</f>
        <v>324.159591280654</v>
      </c>
    </row>
    <row r="124" customFormat="false" ht="15" hidden="false" customHeight="false" outlineLevel="0" collapsed="false">
      <c r="A124" s="2" t="s">
        <v>336</v>
      </c>
      <c r="B124" s="2" t="s">
        <v>66</v>
      </c>
      <c r="C124" s="2" t="s">
        <v>61</v>
      </c>
      <c r="D124" s="2" t="s">
        <v>337</v>
      </c>
      <c r="E124" s="2" t="s">
        <v>338</v>
      </c>
      <c r="F124" s="2" t="s">
        <v>28</v>
      </c>
      <c r="G124" s="2" t="n">
        <v>190914</v>
      </c>
      <c r="H124" s="2" t="n">
        <v>20498</v>
      </c>
      <c r="I124" s="2" t="n">
        <v>3502</v>
      </c>
      <c r="J124" s="2" t="n">
        <v>34266.27</v>
      </c>
      <c r="K124" s="2" t="n">
        <v>45093.41</v>
      </c>
      <c r="L124" s="2" t="n">
        <v>6853</v>
      </c>
      <c r="M124" s="2" t="n">
        <f aca="false">H124/G124*100</f>
        <v>10.7367715306368</v>
      </c>
      <c r="N124" s="2" t="n">
        <f aca="false">I124/H124*100</f>
        <v>17.0845936188897</v>
      </c>
      <c r="O124" s="2" t="n">
        <f aca="false">(K124-J124)/J124*100</f>
        <v>31.5970778260955</v>
      </c>
      <c r="P124" s="2" t="n">
        <f aca="false">J124/L124</f>
        <v>5.00018532029768</v>
      </c>
      <c r="Q124" s="2" t="n">
        <f aca="false">J124/I124</f>
        <v>9.78477155910908</v>
      </c>
    </row>
    <row r="125" customFormat="false" ht="15" hidden="false" customHeight="false" outlineLevel="0" collapsed="false">
      <c r="A125" s="3" t="s">
        <v>339</v>
      </c>
      <c r="B125" s="3" t="s">
        <v>44</v>
      </c>
      <c r="C125" s="3" t="s">
        <v>31</v>
      </c>
      <c r="D125" s="3" t="s">
        <v>340</v>
      </c>
      <c r="E125" s="3" t="s">
        <v>115</v>
      </c>
      <c r="F125" s="3" t="s">
        <v>42</v>
      </c>
      <c r="G125" s="3" t="n">
        <v>142987</v>
      </c>
      <c r="H125" s="3" t="n">
        <v>4366</v>
      </c>
      <c r="I125" s="3" t="n">
        <v>768</v>
      </c>
      <c r="J125" s="3" t="n">
        <v>176110.85</v>
      </c>
      <c r="K125" s="3" t="n">
        <v>580332.32</v>
      </c>
      <c r="L125" s="3" t="n">
        <v>1018</v>
      </c>
      <c r="M125" s="3" t="n">
        <f aca="false">H125/G125*100</f>
        <v>3.0534244371866</v>
      </c>
      <c r="N125" s="3" t="n">
        <f aca="false">I125/H125*100</f>
        <v>17.59047182776</v>
      </c>
      <c r="O125" s="3" t="n">
        <f aca="false">(K125-J125)/J125*100</f>
        <v>229.526727058554</v>
      </c>
      <c r="P125" s="3" t="n">
        <f aca="false">J125/L125</f>
        <v>172.996905697446</v>
      </c>
      <c r="Q125" s="3" t="n">
        <f aca="false">J125/I125</f>
        <v>229.311002604167</v>
      </c>
    </row>
    <row r="126" customFormat="false" ht="15" hidden="false" customHeight="false" outlineLevel="0" collapsed="false">
      <c r="A126" s="2" t="s">
        <v>341</v>
      </c>
      <c r="B126" s="2" t="s">
        <v>73</v>
      </c>
      <c r="C126" s="2" t="s">
        <v>25</v>
      </c>
      <c r="D126" s="2" t="s">
        <v>342</v>
      </c>
      <c r="E126" s="2" t="s">
        <v>343</v>
      </c>
      <c r="F126" s="2" t="s">
        <v>34</v>
      </c>
      <c r="G126" s="2" t="n">
        <v>50447</v>
      </c>
      <c r="H126" s="2" t="n">
        <v>4273</v>
      </c>
      <c r="I126" s="2" t="n">
        <v>499</v>
      </c>
      <c r="J126" s="2" t="n">
        <v>40487.91</v>
      </c>
      <c r="K126" s="2" t="n">
        <v>127608.53</v>
      </c>
      <c r="L126" s="2" t="n">
        <v>774</v>
      </c>
      <c r="M126" s="2" t="n">
        <f aca="false">H126/G126*100</f>
        <v>8.47027573492973</v>
      </c>
      <c r="N126" s="2" t="n">
        <f aca="false">I126/H126*100</f>
        <v>11.6779780014042</v>
      </c>
      <c r="O126" s="2" t="n">
        <f aca="false">(K126-J126)/J126*100</f>
        <v>215.176876257629</v>
      </c>
      <c r="P126" s="2" t="n">
        <f aca="false">J126/L126</f>
        <v>52.3099612403101</v>
      </c>
      <c r="Q126" s="2" t="n">
        <f aca="false">J126/I126</f>
        <v>81.1380961923848</v>
      </c>
    </row>
    <row r="127" customFormat="false" ht="15" hidden="false" customHeight="false" outlineLevel="0" collapsed="false">
      <c r="A127" s="3" t="s">
        <v>344</v>
      </c>
      <c r="B127" s="3" t="s">
        <v>85</v>
      </c>
      <c r="C127" s="3" t="s">
        <v>25</v>
      </c>
      <c r="D127" s="3" t="s">
        <v>345</v>
      </c>
      <c r="E127" s="3" t="s">
        <v>93</v>
      </c>
      <c r="F127" s="3" t="s">
        <v>34</v>
      </c>
      <c r="G127" s="3" t="n">
        <v>85171</v>
      </c>
      <c r="H127" s="3" t="n">
        <v>6004</v>
      </c>
      <c r="I127" s="3" t="n">
        <v>402</v>
      </c>
      <c r="J127" s="3" t="n">
        <v>83900.73</v>
      </c>
      <c r="K127" s="3" t="n">
        <v>246344.62</v>
      </c>
      <c r="L127" s="3" t="n">
        <v>598</v>
      </c>
      <c r="M127" s="3" t="n">
        <f aca="false">H127/G127*100</f>
        <v>7.04934778269599</v>
      </c>
      <c r="N127" s="3" t="n">
        <f aca="false">I127/H127*100</f>
        <v>6.69553630912725</v>
      </c>
      <c r="O127" s="3" t="n">
        <f aca="false">(K127-J127)/J127*100</f>
        <v>193.614394058312</v>
      </c>
      <c r="P127" s="3" t="n">
        <f aca="false">J127/L127</f>
        <v>140.302224080268</v>
      </c>
      <c r="Q127" s="3" t="n">
        <f aca="false">J127/I127</f>
        <v>208.70828358209</v>
      </c>
    </row>
    <row r="128" customFormat="false" ht="15" hidden="false" customHeight="false" outlineLevel="0" collapsed="false">
      <c r="A128" s="2" t="s">
        <v>346</v>
      </c>
      <c r="B128" s="2" t="s">
        <v>24</v>
      </c>
      <c r="C128" s="2" t="s">
        <v>25</v>
      </c>
      <c r="D128" s="2" t="s">
        <v>213</v>
      </c>
      <c r="E128" s="2" t="s">
        <v>176</v>
      </c>
      <c r="F128" s="2" t="s">
        <v>28</v>
      </c>
      <c r="G128" s="2" t="n">
        <v>46174</v>
      </c>
      <c r="H128" s="2" t="n">
        <v>4625</v>
      </c>
      <c r="I128" s="2" t="n">
        <v>613</v>
      </c>
      <c r="J128" s="2" t="n">
        <v>90722.22</v>
      </c>
      <c r="K128" s="2" t="n">
        <v>204590.59</v>
      </c>
      <c r="L128" s="2" t="n">
        <v>1153</v>
      </c>
      <c r="M128" s="2" t="n">
        <f aca="false">H128/G128*100</f>
        <v>10.0164594793607</v>
      </c>
      <c r="N128" s="2" t="n">
        <f aca="false">I128/H128*100</f>
        <v>13.2540540540541</v>
      </c>
      <c r="O128" s="2" t="n">
        <f aca="false">(K128-J128)/J128*100</f>
        <v>125.513209443067</v>
      </c>
      <c r="P128" s="2" t="n">
        <f aca="false">J128/L128</f>
        <v>78.6836253252385</v>
      </c>
      <c r="Q128" s="2" t="n">
        <f aca="false">J128/I128</f>
        <v>147.997096247961</v>
      </c>
    </row>
    <row r="129" customFormat="false" ht="15" hidden="false" customHeight="false" outlineLevel="0" collapsed="false">
      <c r="A129" s="3" t="s">
        <v>347</v>
      </c>
      <c r="B129" s="3" t="s">
        <v>24</v>
      </c>
      <c r="C129" s="3" t="s">
        <v>25</v>
      </c>
      <c r="D129" s="3" t="s">
        <v>348</v>
      </c>
      <c r="E129" s="3" t="s">
        <v>349</v>
      </c>
      <c r="F129" s="3" t="s">
        <v>28</v>
      </c>
      <c r="G129" s="3" t="n">
        <v>12607</v>
      </c>
      <c r="H129" s="3" t="n">
        <v>1156</v>
      </c>
      <c r="I129" s="3" t="n">
        <v>177</v>
      </c>
      <c r="J129" s="3" t="n">
        <v>27872.52</v>
      </c>
      <c r="K129" s="3" t="n">
        <v>55134.59</v>
      </c>
      <c r="L129" s="3" t="n">
        <v>269</v>
      </c>
      <c r="M129" s="3" t="n">
        <f aca="false">H129/G129*100</f>
        <v>9.16950900293488</v>
      </c>
      <c r="N129" s="3" t="n">
        <f aca="false">I129/H129*100</f>
        <v>15.3114186851211</v>
      </c>
      <c r="O129" s="3" t="n">
        <f aca="false">(K129-J129)/J129*100</f>
        <v>97.8098499884474</v>
      </c>
      <c r="P129" s="3" t="n">
        <f aca="false">J129/L129</f>
        <v>103.61531598513</v>
      </c>
      <c r="Q129" s="3" t="n">
        <f aca="false">J129/I129</f>
        <v>157.47186440678</v>
      </c>
    </row>
    <row r="130" customFormat="false" ht="15" hidden="false" customHeight="false" outlineLevel="0" collapsed="false">
      <c r="A130" s="2" t="s">
        <v>350</v>
      </c>
      <c r="B130" s="2" t="s">
        <v>73</v>
      </c>
      <c r="C130" s="2" t="s">
        <v>25</v>
      </c>
      <c r="D130" s="2" t="s">
        <v>274</v>
      </c>
      <c r="E130" s="2" t="s">
        <v>351</v>
      </c>
      <c r="F130" s="2" t="s">
        <v>64</v>
      </c>
      <c r="G130" s="2" t="n">
        <v>183061</v>
      </c>
      <c r="H130" s="2" t="n">
        <v>20548</v>
      </c>
      <c r="I130" s="2" t="n">
        <v>1647</v>
      </c>
      <c r="J130" s="2" t="n">
        <v>121293.09</v>
      </c>
      <c r="K130" s="2" t="n">
        <v>418313.89</v>
      </c>
      <c r="L130" s="2" t="n">
        <v>3267</v>
      </c>
      <c r="M130" s="2" t="n">
        <f aca="false">H130/G130*100</f>
        <v>11.2246737426322</v>
      </c>
      <c r="N130" s="2" t="n">
        <f aca="false">I130/H130*100</f>
        <v>8.015378625657</v>
      </c>
      <c r="O130" s="2" t="n">
        <f aca="false">(K130-J130)/J130*100</f>
        <v>244.878582943183</v>
      </c>
      <c r="P130" s="2" t="n">
        <f aca="false">J130/L130</f>
        <v>37.1267493112948</v>
      </c>
      <c r="Q130" s="2" t="n">
        <f aca="false">J130/I130</f>
        <v>73.6448633879781</v>
      </c>
    </row>
    <row r="131" customFormat="false" ht="15" hidden="false" customHeight="false" outlineLevel="0" collapsed="false">
      <c r="A131" s="3" t="s">
        <v>352</v>
      </c>
      <c r="B131" s="3" t="s">
        <v>82</v>
      </c>
      <c r="C131" s="3" t="s">
        <v>25</v>
      </c>
      <c r="D131" s="3" t="s">
        <v>353</v>
      </c>
      <c r="E131" s="3" t="s">
        <v>354</v>
      </c>
      <c r="F131" s="3" t="s">
        <v>22</v>
      </c>
      <c r="G131" s="3" t="n">
        <v>188486</v>
      </c>
      <c r="H131" s="3" t="n">
        <v>16978</v>
      </c>
      <c r="I131" s="3" t="n">
        <v>3815</v>
      </c>
      <c r="J131" s="3" t="n">
        <v>148486.94</v>
      </c>
      <c r="K131" s="3" t="n">
        <v>285317.51</v>
      </c>
      <c r="L131" s="3" t="n">
        <v>5628</v>
      </c>
      <c r="M131" s="3" t="n">
        <f aca="false">H131/G131*100</f>
        <v>9.00756554863491</v>
      </c>
      <c r="N131" s="3" t="n">
        <f aca="false">I131/H131*100</f>
        <v>22.4702556249264</v>
      </c>
      <c r="O131" s="3" t="n">
        <f aca="false">(K131-J131)/J131*100</f>
        <v>92.1499022068877</v>
      </c>
      <c r="P131" s="3" t="n">
        <f aca="false">J131/L131</f>
        <v>26.3836069651741</v>
      </c>
      <c r="Q131" s="3" t="n">
        <f aca="false">J131/I131</f>
        <v>38.921871559633</v>
      </c>
    </row>
    <row r="132" customFormat="false" ht="15" hidden="false" customHeight="false" outlineLevel="0" collapsed="false">
      <c r="A132" s="2" t="s">
        <v>355</v>
      </c>
      <c r="B132" s="2" t="s">
        <v>18</v>
      </c>
      <c r="C132" s="2" t="s">
        <v>19</v>
      </c>
      <c r="D132" s="2" t="s">
        <v>356</v>
      </c>
      <c r="E132" s="2" t="s">
        <v>357</v>
      </c>
      <c r="F132" s="2" t="s">
        <v>42</v>
      </c>
      <c r="G132" s="2" t="n">
        <v>126965</v>
      </c>
      <c r="H132" s="2" t="n">
        <v>10714</v>
      </c>
      <c r="I132" s="2" t="n">
        <v>2437</v>
      </c>
      <c r="J132" s="2" t="n">
        <v>130506.54</v>
      </c>
      <c r="K132" s="2" t="n">
        <v>342166.11</v>
      </c>
      <c r="L132" s="2" t="n">
        <v>3786</v>
      </c>
      <c r="M132" s="2" t="n">
        <f aca="false">H132/G132*100</f>
        <v>8.43854605599969</v>
      </c>
      <c r="N132" s="2" t="n">
        <f aca="false">I132/H132*100</f>
        <v>22.7459398917304</v>
      </c>
      <c r="O132" s="2" t="n">
        <f aca="false">(K132-J132)/J132*100</f>
        <v>162.183113581894</v>
      </c>
      <c r="P132" s="2" t="n">
        <f aca="false">J132/L132</f>
        <v>34.470824088748</v>
      </c>
      <c r="Q132" s="2" t="n">
        <f aca="false">J132/I132</f>
        <v>53.5521296676241</v>
      </c>
    </row>
    <row r="133" customFormat="false" ht="15" hidden="false" customHeight="false" outlineLevel="0" collapsed="false">
      <c r="A133" s="3" t="s">
        <v>358</v>
      </c>
      <c r="B133" s="3" t="s">
        <v>89</v>
      </c>
      <c r="C133" s="3" t="s">
        <v>19</v>
      </c>
      <c r="D133" s="3" t="s">
        <v>359</v>
      </c>
      <c r="E133" s="3" t="s">
        <v>216</v>
      </c>
      <c r="F133" s="3" t="s">
        <v>34</v>
      </c>
      <c r="G133" s="3" t="n">
        <v>32093</v>
      </c>
      <c r="H133" s="3" t="n">
        <v>760</v>
      </c>
      <c r="I133" s="3" t="n">
        <v>88</v>
      </c>
      <c r="J133" s="3" t="n">
        <v>149143.26</v>
      </c>
      <c r="K133" s="3" t="n">
        <v>432831.65</v>
      </c>
      <c r="L133" s="3" t="n">
        <v>114</v>
      </c>
      <c r="M133" s="3" t="n">
        <f aca="false">H133/G133*100</f>
        <v>2.36811765805627</v>
      </c>
      <c r="N133" s="3" t="n">
        <f aca="false">I133/H133*100</f>
        <v>11.5789473684211</v>
      </c>
      <c r="O133" s="3" t="n">
        <f aca="false">(K133-J133)/J133*100</f>
        <v>190.212008239595</v>
      </c>
      <c r="P133" s="3" t="n">
        <f aca="false">J133/L133</f>
        <v>1308.27421052632</v>
      </c>
      <c r="Q133" s="3" t="n">
        <f aca="false">J133/I133</f>
        <v>1694.80977272727</v>
      </c>
    </row>
    <row r="134" customFormat="false" ht="15" hidden="false" customHeight="false" outlineLevel="0" collapsed="false">
      <c r="A134" s="2" t="s">
        <v>360</v>
      </c>
      <c r="B134" s="2" t="s">
        <v>30</v>
      </c>
      <c r="C134" s="2" t="s">
        <v>31</v>
      </c>
      <c r="D134" s="2" t="s">
        <v>361</v>
      </c>
      <c r="E134" s="2" t="s">
        <v>68</v>
      </c>
      <c r="F134" s="2" t="s">
        <v>64</v>
      </c>
      <c r="G134" s="2" t="n">
        <v>146665</v>
      </c>
      <c r="H134" s="2" t="n">
        <v>7930</v>
      </c>
      <c r="I134" s="2" t="n">
        <v>1404</v>
      </c>
      <c r="J134" s="2" t="n">
        <v>19333.02</v>
      </c>
      <c r="K134" s="2" t="n">
        <v>62788.52</v>
      </c>
      <c r="L134" s="2" t="n">
        <v>2291</v>
      </c>
      <c r="M134" s="2" t="n">
        <f aca="false">H134/G134*100</f>
        <v>5.40687962363209</v>
      </c>
      <c r="N134" s="2" t="n">
        <f aca="false">I134/H134*100</f>
        <v>17.7049180327869</v>
      </c>
      <c r="O134" s="2" t="n">
        <f aca="false">(K134-J134)/J134*100</f>
        <v>224.77347046659</v>
      </c>
      <c r="P134" s="2" t="n">
        <f aca="false">J134/L134</f>
        <v>8.43868179834134</v>
      </c>
      <c r="Q134" s="2" t="n">
        <f aca="false">J134/I134</f>
        <v>13.7699572649573</v>
      </c>
    </row>
    <row r="135" customFormat="false" ht="15" hidden="false" customHeight="false" outlineLevel="0" collapsed="false">
      <c r="A135" s="3" t="s">
        <v>362</v>
      </c>
      <c r="B135" s="3" t="s">
        <v>73</v>
      </c>
      <c r="C135" s="3" t="s">
        <v>25</v>
      </c>
      <c r="D135" s="3" t="s">
        <v>363</v>
      </c>
      <c r="E135" s="3" t="s">
        <v>348</v>
      </c>
      <c r="F135" s="3" t="s">
        <v>64</v>
      </c>
      <c r="G135" s="3" t="n">
        <v>25714</v>
      </c>
      <c r="H135" s="3" t="n">
        <v>2678</v>
      </c>
      <c r="I135" s="3" t="n">
        <v>273</v>
      </c>
      <c r="J135" s="3" t="n">
        <v>108887.38</v>
      </c>
      <c r="K135" s="3" t="n">
        <v>161672.71</v>
      </c>
      <c r="L135" s="3" t="n">
        <v>492</v>
      </c>
      <c r="M135" s="3" t="n">
        <f aca="false">H135/G135*100</f>
        <v>10.4145601617796</v>
      </c>
      <c r="N135" s="3" t="n">
        <f aca="false">I135/H135*100</f>
        <v>10.1941747572816</v>
      </c>
      <c r="O135" s="3" t="n">
        <f aca="false">(K135-J135)/J135*100</f>
        <v>48.4769952220358</v>
      </c>
      <c r="P135" s="3" t="n">
        <f aca="false">J135/L135</f>
        <v>221.31581300813</v>
      </c>
      <c r="Q135" s="3" t="n">
        <f aca="false">J135/I135</f>
        <v>398.854871794872</v>
      </c>
    </row>
    <row r="136" customFormat="false" ht="15" hidden="false" customHeight="false" outlineLevel="0" collapsed="false">
      <c r="A136" s="2" t="s">
        <v>364</v>
      </c>
      <c r="B136" s="2" t="s">
        <v>50</v>
      </c>
      <c r="C136" s="2" t="s">
        <v>31</v>
      </c>
      <c r="D136" s="2" t="s">
        <v>123</v>
      </c>
      <c r="E136" s="2" t="s">
        <v>213</v>
      </c>
      <c r="F136" s="2" t="s">
        <v>22</v>
      </c>
      <c r="G136" s="2" t="n">
        <v>98861</v>
      </c>
      <c r="H136" s="2" t="n">
        <v>11694</v>
      </c>
      <c r="I136" s="2" t="n">
        <v>2468</v>
      </c>
      <c r="J136" s="2" t="n">
        <v>197965.01</v>
      </c>
      <c r="K136" s="2" t="n">
        <v>495085.47</v>
      </c>
      <c r="L136" s="2" t="n">
        <v>4727</v>
      </c>
      <c r="M136" s="2" t="n">
        <f aca="false">H136/G136*100</f>
        <v>11.8287292258828</v>
      </c>
      <c r="N136" s="2" t="n">
        <f aca="false">I136/H136*100</f>
        <v>21.1048400889345</v>
      </c>
      <c r="O136" s="2" t="n">
        <f aca="false">(K136-J136)/J136*100</f>
        <v>150.087361397855</v>
      </c>
      <c r="P136" s="2" t="n">
        <f aca="false">J136/L136</f>
        <v>41.8796297863338</v>
      </c>
      <c r="Q136" s="2" t="n">
        <f aca="false">J136/I136</f>
        <v>80.212726904376</v>
      </c>
    </row>
    <row r="137" customFormat="false" ht="15" hidden="false" customHeight="false" outlineLevel="0" collapsed="false">
      <c r="A137" s="3" t="s">
        <v>365</v>
      </c>
      <c r="B137" s="3" t="s">
        <v>89</v>
      </c>
      <c r="C137" s="3" t="s">
        <v>19</v>
      </c>
      <c r="D137" s="3" t="s">
        <v>83</v>
      </c>
      <c r="E137" s="3" t="s">
        <v>366</v>
      </c>
      <c r="F137" s="3" t="s">
        <v>34</v>
      </c>
      <c r="G137" s="3" t="n">
        <v>88433</v>
      </c>
      <c r="H137" s="3" t="n">
        <v>4284</v>
      </c>
      <c r="I137" s="3" t="n">
        <v>886</v>
      </c>
      <c r="J137" s="3" t="n">
        <v>147248.08</v>
      </c>
      <c r="K137" s="3" t="n">
        <v>404431.24</v>
      </c>
      <c r="L137" s="3" t="n">
        <v>1569</v>
      </c>
      <c r="M137" s="3" t="n">
        <f aca="false">H137/G137*100</f>
        <v>4.84434543665826</v>
      </c>
      <c r="N137" s="3" t="n">
        <f aca="false">I137/H137*100</f>
        <v>20.6816059757236</v>
      </c>
      <c r="O137" s="3" t="n">
        <f aca="false">(K137-J137)/J137*100</f>
        <v>174.659771455085</v>
      </c>
      <c r="P137" s="3" t="n">
        <f aca="false">J137/L137</f>
        <v>93.8483620140217</v>
      </c>
      <c r="Q137" s="3" t="n">
        <f aca="false">J137/I137</f>
        <v>166.194221218962</v>
      </c>
    </row>
    <row r="138" customFormat="false" ht="15" hidden="false" customHeight="false" outlineLevel="0" collapsed="false">
      <c r="A138" s="2" t="s">
        <v>367</v>
      </c>
      <c r="B138" s="2" t="s">
        <v>30</v>
      </c>
      <c r="C138" s="2" t="s">
        <v>31</v>
      </c>
      <c r="D138" s="2" t="s">
        <v>221</v>
      </c>
      <c r="E138" s="2" t="s">
        <v>343</v>
      </c>
      <c r="F138" s="2" t="s">
        <v>28</v>
      </c>
      <c r="G138" s="2" t="n">
        <v>145384</v>
      </c>
      <c r="H138" s="2" t="n">
        <v>11374</v>
      </c>
      <c r="I138" s="2" t="n">
        <v>2440</v>
      </c>
      <c r="J138" s="2" t="n">
        <v>81834.49</v>
      </c>
      <c r="K138" s="2" t="n">
        <v>116644.59</v>
      </c>
      <c r="L138" s="2" t="n">
        <v>4317</v>
      </c>
      <c r="M138" s="2" t="n">
        <f aca="false">H138/G138*100</f>
        <v>7.82341935838882</v>
      </c>
      <c r="N138" s="2" t="n">
        <f aca="false">I138/H138*100</f>
        <v>21.4524353789344</v>
      </c>
      <c r="O138" s="2" t="n">
        <f aca="false">(K138-J138)/J138*100</f>
        <v>42.5371991687124</v>
      </c>
      <c r="P138" s="2" t="n">
        <f aca="false">J138/L138</f>
        <v>18.956333101691</v>
      </c>
      <c r="Q138" s="2" t="n">
        <f aca="false">J138/I138</f>
        <v>33.5387254098361</v>
      </c>
    </row>
    <row r="139" customFormat="false" ht="15" hidden="false" customHeight="false" outlineLevel="0" collapsed="false">
      <c r="A139" s="3" t="s">
        <v>368</v>
      </c>
      <c r="B139" s="3" t="s">
        <v>50</v>
      </c>
      <c r="C139" s="3" t="s">
        <v>31</v>
      </c>
      <c r="D139" s="3" t="s">
        <v>316</v>
      </c>
      <c r="E139" s="3" t="s">
        <v>369</v>
      </c>
      <c r="F139" s="3" t="s">
        <v>64</v>
      </c>
      <c r="G139" s="3" t="n">
        <v>44095</v>
      </c>
      <c r="H139" s="3" t="n">
        <v>2981</v>
      </c>
      <c r="I139" s="3" t="n">
        <v>415</v>
      </c>
      <c r="J139" s="3" t="n">
        <v>83319.43</v>
      </c>
      <c r="K139" s="3" t="n">
        <v>200832.14</v>
      </c>
      <c r="L139" s="3" t="n">
        <v>693</v>
      </c>
      <c r="M139" s="3" t="n">
        <f aca="false">H139/G139*100</f>
        <v>6.76040367388593</v>
      </c>
      <c r="N139" s="3" t="n">
        <f aca="false">I139/H139*100</f>
        <v>13.9215028513922</v>
      </c>
      <c r="O139" s="3" t="n">
        <f aca="false">(K139-J139)/J139*100</f>
        <v>141.038782910541</v>
      </c>
      <c r="P139" s="3" t="n">
        <f aca="false">J139/L139</f>
        <v>120.230057720058</v>
      </c>
      <c r="Q139" s="3" t="n">
        <f aca="false">J139/I139</f>
        <v>200.769710843373</v>
      </c>
    </row>
    <row r="140" customFormat="false" ht="15" hidden="false" customHeight="false" outlineLevel="0" collapsed="false">
      <c r="A140" s="2" t="s">
        <v>370</v>
      </c>
      <c r="B140" s="2" t="s">
        <v>82</v>
      </c>
      <c r="C140" s="2" t="s">
        <v>25</v>
      </c>
      <c r="D140" s="2" t="s">
        <v>103</v>
      </c>
      <c r="E140" s="2" t="s">
        <v>371</v>
      </c>
      <c r="F140" s="2" t="s">
        <v>42</v>
      </c>
      <c r="G140" s="2" t="n">
        <v>125364</v>
      </c>
      <c r="H140" s="2" t="n">
        <v>11145</v>
      </c>
      <c r="I140" s="2" t="n">
        <v>2669</v>
      </c>
      <c r="J140" s="2" t="n">
        <v>150367.64</v>
      </c>
      <c r="K140" s="2" t="n">
        <v>324631.92</v>
      </c>
      <c r="L140" s="2" t="n">
        <v>3550</v>
      </c>
      <c r="M140" s="2" t="n">
        <f aca="false">H140/G140*100</f>
        <v>8.89011199387384</v>
      </c>
      <c r="N140" s="2" t="n">
        <f aca="false">I140/H140*100</f>
        <v>23.9479587258861</v>
      </c>
      <c r="O140" s="2" t="n">
        <f aca="false">(K140-J140)/J140*100</f>
        <v>115.892142750927</v>
      </c>
      <c r="P140" s="2" t="n">
        <f aca="false">J140/L140</f>
        <v>42.3570816901409</v>
      </c>
      <c r="Q140" s="2" t="n">
        <f aca="false">J140/I140</f>
        <v>56.3385687523417</v>
      </c>
    </row>
    <row r="141" customFormat="false" ht="15" hidden="false" customHeight="false" outlineLevel="0" collapsed="false">
      <c r="A141" s="3" t="s">
        <v>372</v>
      </c>
      <c r="B141" s="3" t="s">
        <v>24</v>
      </c>
      <c r="C141" s="3" t="s">
        <v>25</v>
      </c>
      <c r="D141" s="3" t="s">
        <v>373</v>
      </c>
      <c r="E141" s="3" t="s">
        <v>349</v>
      </c>
      <c r="F141" s="3" t="s">
        <v>64</v>
      </c>
      <c r="G141" s="3" t="n">
        <v>194686</v>
      </c>
      <c r="H141" s="3" t="n">
        <v>13884</v>
      </c>
      <c r="I141" s="3" t="n">
        <v>2163</v>
      </c>
      <c r="J141" s="3" t="n">
        <v>143477.08</v>
      </c>
      <c r="K141" s="3" t="n">
        <v>322463.94</v>
      </c>
      <c r="L141" s="3" t="n">
        <v>2652</v>
      </c>
      <c r="M141" s="3" t="n">
        <f aca="false">H141/G141*100</f>
        <v>7.13148351704796</v>
      </c>
      <c r="N141" s="3" t="n">
        <f aca="false">I141/H141*100</f>
        <v>15.5790838375108</v>
      </c>
      <c r="O141" s="3" t="n">
        <f aca="false">(K141-J141)/J141*100</f>
        <v>124.749444301487</v>
      </c>
      <c r="P141" s="3" t="n">
        <f aca="false">J141/L141</f>
        <v>54.1014630467572</v>
      </c>
      <c r="Q141" s="3" t="n">
        <f aca="false">J141/I141</f>
        <v>66.3324456773</v>
      </c>
    </row>
    <row r="142" customFormat="false" ht="15" hidden="false" customHeight="false" outlineLevel="0" collapsed="false">
      <c r="A142" s="2" t="s">
        <v>374</v>
      </c>
      <c r="B142" s="2" t="s">
        <v>50</v>
      </c>
      <c r="C142" s="2" t="s">
        <v>31</v>
      </c>
      <c r="D142" s="2" t="s">
        <v>146</v>
      </c>
      <c r="E142" s="2" t="s">
        <v>99</v>
      </c>
      <c r="F142" s="2" t="s">
        <v>64</v>
      </c>
      <c r="G142" s="2" t="n">
        <v>38923</v>
      </c>
      <c r="H142" s="2" t="n">
        <v>1248</v>
      </c>
      <c r="I142" s="2" t="n">
        <v>205</v>
      </c>
      <c r="J142" s="2" t="n">
        <v>22452.2</v>
      </c>
      <c r="K142" s="2" t="n">
        <v>34859.29</v>
      </c>
      <c r="L142" s="2" t="n">
        <v>306</v>
      </c>
      <c r="M142" s="2" t="n">
        <f aca="false">H142/G142*100</f>
        <v>3.20633044729337</v>
      </c>
      <c r="N142" s="2" t="n">
        <f aca="false">I142/H142*100</f>
        <v>16.4262820512821</v>
      </c>
      <c r="O142" s="2" t="n">
        <f aca="false">(K142-J142)/J142*100</f>
        <v>55.2600190627199</v>
      </c>
      <c r="P142" s="2" t="n">
        <f aca="false">J142/L142</f>
        <v>73.3732026143791</v>
      </c>
      <c r="Q142" s="2" t="n">
        <f aca="false">J142/I142</f>
        <v>109.522926829268</v>
      </c>
    </row>
    <row r="143" customFormat="false" ht="15" hidden="false" customHeight="false" outlineLevel="0" collapsed="false">
      <c r="A143" s="3" t="s">
        <v>375</v>
      </c>
      <c r="B143" s="3" t="s">
        <v>73</v>
      </c>
      <c r="C143" s="3" t="s">
        <v>25</v>
      </c>
      <c r="D143" s="3" t="s">
        <v>376</v>
      </c>
      <c r="E143" s="3" t="s">
        <v>67</v>
      </c>
      <c r="F143" s="3" t="s">
        <v>42</v>
      </c>
      <c r="G143" s="3" t="n">
        <v>47452</v>
      </c>
      <c r="H143" s="3" t="n">
        <v>1623</v>
      </c>
      <c r="I143" s="3" t="n">
        <v>272</v>
      </c>
      <c r="J143" s="3" t="n">
        <v>24000.44</v>
      </c>
      <c r="K143" s="3" t="n">
        <v>78164.19</v>
      </c>
      <c r="L143" s="3" t="n">
        <v>519</v>
      </c>
      <c r="M143" s="3" t="n">
        <f aca="false">H143/G143*100</f>
        <v>3.42029840681109</v>
      </c>
      <c r="N143" s="3" t="n">
        <f aca="false">I143/H143*100</f>
        <v>16.7590881084412</v>
      </c>
      <c r="O143" s="3" t="n">
        <f aca="false">(K143-J143)/J143*100</f>
        <v>225.678154233839</v>
      </c>
      <c r="P143" s="3" t="n">
        <f aca="false">J143/L143</f>
        <v>46.2436223506744</v>
      </c>
      <c r="Q143" s="3" t="n">
        <f aca="false">J143/I143</f>
        <v>88.2369117647059</v>
      </c>
    </row>
    <row r="144" customFormat="false" ht="15" hidden="false" customHeight="false" outlineLevel="0" collapsed="false">
      <c r="A144" s="2" t="s">
        <v>377</v>
      </c>
      <c r="B144" s="2" t="s">
        <v>44</v>
      </c>
      <c r="C144" s="2" t="s">
        <v>31</v>
      </c>
      <c r="D144" s="2" t="s">
        <v>378</v>
      </c>
      <c r="E144" s="2" t="s">
        <v>146</v>
      </c>
      <c r="F144" s="2" t="s">
        <v>42</v>
      </c>
      <c r="G144" s="2" t="n">
        <v>153533</v>
      </c>
      <c r="H144" s="2" t="n">
        <v>8423</v>
      </c>
      <c r="I144" s="2" t="n">
        <v>1887</v>
      </c>
      <c r="J144" s="2" t="n">
        <v>92251.4</v>
      </c>
      <c r="K144" s="2" t="n">
        <v>232292.34</v>
      </c>
      <c r="L144" s="2" t="n">
        <v>3118</v>
      </c>
      <c r="M144" s="2" t="n">
        <f aca="false">H144/G144*100</f>
        <v>5.48611699113546</v>
      </c>
      <c r="N144" s="2" t="n">
        <f aca="false">I144/H144*100</f>
        <v>22.4029443191262</v>
      </c>
      <c r="O144" s="2" t="n">
        <f aca="false">(K144-J144)/J144*100</f>
        <v>151.803593224601</v>
      </c>
      <c r="P144" s="2" t="n">
        <f aca="false">J144/L144</f>
        <v>29.5867222578576</v>
      </c>
      <c r="Q144" s="2" t="n">
        <f aca="false">J144/I144</f>
        <v>48.8878643349232</v>
      </c>
    </row>
    <row r="145" customFormat="false" ht="15" hidden="false" customHeight="false" outlineLevel="0" collapsed="false">
      <c r="A145" s="3" t="s">
        <v>379</v>
      </c>
      <c r="B145" s="3" t="s">
        <v>36</v>
      </c>
      <c r="C145" s="3" t="s">
        <v>19</v>
      </c>
      <c r="D145" s="3" t="s">
        <v>380</v>
      </c>
      <c r="E145" s="3" t="s">
        <v>232</v>
      </c>
      <c r="F145" s="3" t="s">
        <v>22</v>
      </c>
      <c r="G145" s="3" t="n">
        <v>142320</v>
      </c>
      <c r="H145" s="3" t="n">
        <v>11904</v>
      </c>
      <c r="I145" s="3" t="n">
        <v>2408</v>
      </c>
      <c r="J145" s="3" t="n">
        <v>138435.84</v>
      </c>
      <c r="K145" s="3" t="n">
        <v>213559.43</v>
      </c>
      <c r="L145" s="3" t="n">
        <v>4291</v>
      </c>
      <c r="M145" s="3" t="n">
        <f aca="false">H145/G145*100</f>
        <v>8.36424957841484</v>
      </c>
      <c r="N145" s="3" t="n">
        <f aca="false">I145/H145*100</f>
        <v>20.2284946236559</v>
      </c>
      <c r="O145" s="3" t="n">
        <f aca="false">(K145-J145)/J145*100</f>
        <v>54.2659978803177</v>
      </c>
      <c r="P145" s="3" t="n">
        <f aca="false">J145/L145</f>
        <v>32.2619063155442</v>
      </c>
      <c r="Q145" s="3" t="n">
        <f aca="false">J145/I145</f>
        <v>57.4899667774086</v>
      </c>
    </row>
    <row r="146" customFormat="false" ht="15" hidden="false" customHeight="false" outlineLevel="0" collapsed="false">
      <c r="A146" s="2" t="s">
        <v>381</v>
      </c>
      <c r="B146" s="2" t="s">
        <v>82</v>
      </c>
      <c r="C146" s="2" t="s">
        <v>25</v>
      </c>
      <c r="D146" s="2" t="s">
        <v>108</v>
      </c>
      <c r="E146" s="2" t="s">
        <v>382</v>
      </c>
      <c r="F146" s="2" t="s">
        <v>28</v>
      </c>
      <c r="G146" s="2" t="n">
        <v>71032</v>
      </c>
      <c r="H146" s="2" t="n">
        <v>7815</v>
      </c>
      <c r="I146" s="2" t="n">
        <v>920</v>
      </c>
      <c r="J146" s="2" t="n">
        <v>23476.65</v>
      </c>
      <c r="K146" s="2" t="n">
        <v>64373.46</v>
      </c>
      <c r="L146" s="2" t="n">
        <v>1430</v>
      </c>
      <c r="M146" s="2" t="n">
        <f aca="false">H146/G146*100</f>
        <v>11.0020835679694</v>
      </c>
      <c r="N146" s="2" t="n">
        <f aca="false">I146/H146*100</f>
        <v>11.7722328854766</v>
      </c>
      <c r="O146" s="2" t="n">
        <f aca="false">(K146-J146)/J146*100</f>
        <v>174.202068864169</v>
      </c>
      <c r="P146" s="2" t="n">
        <f aca="false">J146/L146</f>
        <v>16.4172377622378</v>
      </c>
      <c r="Q146" s="2" t="n">
        <f aca="false">J146/I146</f>
        <v>25.518097826087</v>
      </c>
    </row>
    <row r="147" customFormat="false" ht="15" hidden="false" customHeight="false" outlineLevel="0" collapsed="false">
      <c r="A147" s="3" t="s">
        <v>383</v>
      </c>
      <c r="B147" s="3" t="s">
        <v>121</v>
      </c>
      <c r="C147" s="3" t="s">
        <v>19</v>
      </c>
      <c r="D147" s="3" t="s">
        <v>384</v>
      </c>
      <c r="E147" s="3" t="s">
        <v>243</v>
      </c>
      <c r="F147" s="3" t="s">
        <v>22</v>
      </c>
      <c r="G147" s="3" t="n">
        <v>159945</v>
      </c>
      <c r="H147" s="3" t="n">
        <v>13277</v>
      </c>
      <c r="I147" s="3" t="n">
        <v>2712</v>
      </c>
      <c r="J147" s="3" t="n">
        <v>72136.89</v>
      </c>
      <c r="K147" s="3" t="n">
        <v>193605.84</v>
      </c>
      <c r="L147" s="3" t="n">
        <v>4651</v>
      </c>
      <c r="M147" s="3" t="n">
        <f aca="false">H147/G147*100</f>
        <v>8.30097846134609</v>
      </c>
      <c r="N147" s="3" t="n">
        <f aca="false">I147/H147*100</f>
        <v>20.4263011222415</v>
      </c>
      <c r="O147" s="3" t="n">
        <f aca="false">(K147-J147)/J147*100</f>
        <v>168.386729730101</v>
      </c>
      <c r="P147" s="3" t="n">
        <f aca="false">J147/L147</f>
        <v>15.509974199097</v>
      </c>
      <c r="Q147" s="3" t="n">
        <f aca="false">J147/I147</f>
        <v>26.5991482300885</v>
      </c>
    </row>
    <row r="148" customFormat="false" ht="15" hidden="false" customHeight="false" outlineLevel="0" collapsed="false">
      <c r="A148" s="2" t="s">
        <v>385</v>
      </c>
      <c r="B148" s="2" t="s">
        <v>117</v>
      </c>
      <c r="C148" s="2" t="s">
        <v>31</v>
      </c>
      <c r="D148" s="2" t="s">
        <v>386</v>
      </c>
      <c r="E148" s="2" t="s">
        <v>306</v>
      </c>
      <c r="F148" s="2" t="s">
        <v>34</v>
      </c>
      <c r="G148" s="2" t="n">
        <v>134737</v>
      </c>
      <c r="H148" s="2" t="n">
        <v>9467</v>
      </c>
      <c r="I148" s="2" t="n">
        <v>508</v>
      </c>
      <c r="J148" s="2" t="n">
        <v>136777.07</v>
      </c>
      <c r="K148" s="2" t="n">
        <v>331448.69</v>
      </c>
      <c r="L148" s="2" t="n">
        <v>1000</v>
      </c>
      <c r="M148" s="2" t="n">
        <f aca="false">H148/G148*100</f>
        <v>7.02628082857715</v>
      </c>
      <c r="N148" s="2" t="n">
        <f aca="false">I148/H148*100</f>
        <v>5.36600823914651</v>
      </c>
      <c r="O148" s="2" t="n">
        <f aca="false">(K148-J148)/J148*100</f>
        <v>142.327672321099</v>
      </c>
      <c r="P148" s="2" t="n">
        <f aca="false">J148/L148</f>
        <v>136.77707</v>
      </c>
      <c r="Q148" s="2" t="n">
        <f aca="false">J148/I148</f>
        <v>269.246200787402</v>
      </c>
    </row>
    <row r="149" customFormat="false" ht="15" hidden="false" customHeight="false" outlineLevel="0" collapsed="false">
      <c r="A149" s="3" t="s">
        <v>387</v>
      </c>
      <c r="B149" s="3" t="s">
        <v>73</v>
      </c>
      <c r="C149" s="3" t="s">
        <v>25</v>
      </c>
      <c r="D149" s="3" t="s">
        <v>207</v>
      </c>
      <c r="E149" s="3" t="s">
        <v>388</v>
      </c>
      <c r="F149" s="3" t="s">
        <v>42</v>
      </c>
      <c r="G149" s="3" t="n">
        <v>149865</v>
      </c>
      <c r="H149" s="3" t="n">
        <v>12091</v>
      </c>
      <c r="I149" s="3" t="n">
        <v>1576</v>
      </c>
      <c r="J149" s="3" t="n">
        <v>23321.97</v>
      </c>
      <c r="K149" s="3" t="n">
        <v>74223.13</v>
      </c>
      <c r="L149" s="3" t="n">
        <v>1920</v>
      </c>
      <c r="M149" s="3" t="n">
        <f aca="false">H149/G149*100</f>
        <v>8.06792780168819</v>
      </c>
      <c r="N149" s="3" t="n">
        <f aca="false">I149/H149*100</f>
        <v>13.0344884624928</v>
      </c>
      <c r="O149" s="3" t="n">
        <f aca="false">(K149-J149)/J149*100</f>
        <v>218.254118327054</v>
      </c>
      <c r="P149" s="3" t="n">
        <f aca="false">J149/L149</f>
        <v>12.146859375</v>
      </c>
      <c r="Q149" s="3" t="n">
        <f aca="false">J149/I149</f>
        <v>14.7982043147208</v>
      </c>
    </row>
    <row r="150" customFormat="false" ht="15" hidden="false" customHeight="false" outlineLevel="0" collapsed="false">
      <c r="A150" s="2" t="s">
        <v>389</v>
      </c>
      <c r="B150" s="2" t="s">
        <v>30</v>
      </c>
      <c r="C150" s="2" t="s">
        <v>31</v>
      </c>
      <c r="D150" s="2" t="s">
        <v>299</v>
      </c>
      <c r="E150" s="2" t="s">
        <v>390</v>
      </c>
      <c r="F150" s="2" t="s">
        <v>34</v>
      </c>
      <c r="G150" s="2" t="n">
        <v>110141</v>
      </c>
      <c r="H150" s="2" t="n">
        <v>5035</v>
      </c>
      <c r="I150" s="2" t="n">
        <v>367</v>
      </c>
      <c r="J150" s="2" t="n">
        <v>33376.72</v>
      </c>
      <c r="K150" s="2" t="n">
        <v>52960.8</v>
      </c>
      <c r="L150" s="2" t="n">
        <v>482</v>
      </c>
      <c r="M150" s="2" t="n">
        <f aca="false">H150/G150*100</f>
        <v>4.5714130069638</v>
      </c>
      <c r="N150" s="2" t="n">
        <f aca="false">I150/H150*100</f>
        <v>7.28897715988083</v>
      </c>
      <c r="O150" s="2" t="n">
        <f aca="false">(K150-J150)/J150*100</f>
        <v>58.6758674908739</v>
      </c>
      <c r="P150" s="2" t="n">
        <f aca="false">J150/L150</f>
        <v>69.2463070539419</v>
      </c>
      <c r="Q150" s="2" t="n">
        <f aca="false">J150/I150</f>
        <v>90.9447411444142</v>
      </c>
    </row>
    <row r="151" customFormat="false" ht="15" hidden="false" customHeight="false" outlineLevel="0" collapsed="false">
      <c r="A151" s="3" t="s">
        <v>391</v>
      </c>
      <c r="B151" s="3" t="s">
        <v>114</v>
      </c>
      <c r="C151" s="3" t="s">
        <v>61</v>
      </c>
      <c r="D151" s="3" t="s">
        <v>250</v>
      </c>
      <c r="E151" s="3" t="s">
        <v>392</v>
      </c>
      <c r="F151" s="3" t="s">
        <v>64</v>
      </c>
      <c r="G151" s="3" t="n">
        <v>187893</v>
      </c>
      <c r="H151" s="3" t="n">
        <v>6936</v>
      </c>
      <c r="I151" s="3" t="n">
        <v>1199</v>
      </c>
      <c r="J151" s="3" t="n">
        <v>75178.78</v>
      </c>
      <c r="K151" s="3" t="n">
        <v>94912.74</v>
      </c>
      <c r="L151" s="3" t="n">
        <v>1494</v>
      </c>
      <c r="M151" s="3" t="n">
        <f aca="false">H151/G151*100</f>
        <v>3.69146269419297</v>
      </c>
      <c r="N151" s="3" t="n">
        <f aca="false">I151/H151*100</f>
        <v>17.2866205305652</v>
      </c>
      <c r="O151" s="3" t="n">
        <f aca="false">(K151-J151)/J151*100</f>
        <v>26.2493751561278</v>
      </c>
      <c r="P151" s="3" t="n">
        <f aca="false">J151/L151</f>
        <v>50.32046854083</v>
      </c>
      <c r="Q151" s="3" t="n">
        <f aca="false">J151/I151</f>
        <v>62.7012343619683</v>
      </c>
    </row>
    <row r="152" customFormat="false" ht="15" hidden="false" customHeight="false" outlineLevel="0" collapsed="false">
      <c r="A152" s="2" t="s">
        <v>393</v>
      </c>
      <c r="B152" s="2" t="s">
        <v>18</v>
      </c>
      <c r="C152" s="2" t="s">
        <v>19</v>
      </c>
      <c r="D152" s="2" t="s">
        <v>394</v>
      </c>
      <c r="E152" s="2" t="s">
        <v>395</v>
      </c>
      <c r="F152" s="2" t="s">
        <v>34</v>
      </c>
      <c r="G152" s="2" t="n">
        <v>94991</v>
      </c>
      <c r="H152" s="2" t="n">
        <v>4349</v>
      </c>
      <c r="I152" s="2" t="n">
        <v>1036</v>
      </c>
      <c r="J152" s="2" t="n">
        <v>181407.78</v>
      </c>
      <c r="K152" s="2" t="n">
        <v>239334.85</v>
      </c>
      <c r="L152" s="2" t="n">
        <v>1441</v>
      </c>
      <c r="M152" s="2" t="n">
        <f aca="false">H152/G152*100</f>
        <v>4.57832847322378</v>
      </c>
      <c r="N152" s="2" t="n">
        <f aca="false">I152/H152*100</f>
        <v>23.8215681765923</v>
      </c>
      <c r="O152" s="2" t="n">
        <f aca="false">(K152-J152)/J152*100</f>
        <v>31.9319656521898</v>
      </c>
      <c r="P152" s="2" t="n">
        <f aca="false">J152/L152</f>
        <v>125.890201249133</v>
      </c>
      <c r="Q152" s="2" t="n">
        <f aca="false">J152/I152</f>
        <v>175.104034749035</v>
      </c>
    </row>
    <row r="153" customFormat="false" ht="15" hidden="false" customHeight="false" outlineLevel="0" collapsed="false">
      <c r="A153" s="3" t="s">
        <v>396</v>
      </c>
      <c r="B153" s="3" t="s">
        <v>82</v>
      </c>
      <c r="C153" s="3" t="s">
        <v>25</v>
      </c>
      <c r="D153" s="3" t="s">
        <v>63</v>
      </c>
      <c r="E153" s="3" t="s">
        <v>274</v>
      </c>
      <c r="F153" s="3" t="s">
        <v>28</v>
      </c>
      <c r="G153" s="3" t="n">
        <v>40167</v>
      </c>
      <c r="H153" s="3" t="n">
        <v>1884</v>
      </c>
      <c r="I153" s="3" t="n">
        <v>214</v>
      </c>
      <c r="J153" s="3" t="n">
        <v>117327.4</v>
      </c>
      <c r="K153" s="3" t="n">
        <v>158456.98</v>
      </c>
      <c r="L153" s="3" t="n">
        <v>261</v>
      </c>
      <c r="M153" s="3" t="n">
        <f aca="false">H153/G153*100</f>
        <v>4.69041750690866</v>
      </c>
      <c r="N153" s="3" t="n">
        <f aca="false">I153/H153*100</f>
        <v>11.3588110403397</v>
      </c>
      <c r="O153" s="3" t="n">
        <f aca="false">(K153-J153)/J153*100</f>
        <v>35.0553920056185</v>
      </c>
      <c r="P153" s="3" t="n">
        <f aca="false">J153/L153</f>
        <v>449.530268199234</v>
      </c>
      <c r="Q153" s="3" t="n">
        <f aca="false">J153/I153</f>
        <v>548.258878504673</v>
      </c>
    </row>
    <row r="154" customFormat="false" ht="15" hidden="false" customHeight="false" outlineLevel="0" collapsed="false">
      <c r="A154" s="2" t="s">
        <v>397</v>
      </c>
      <c r="B154" s="2" t="s">
        <v>60</v>
      </c>
      <c r="C154" s="2" t="s">
        <v>61</v>
      </c>
      <c r="D154" s="2" t="s">
        <v>139</v>
      </c>
      <c r="E154" s="2" t="s">
        <v>292</v>
      </c>
      <c r="F154" s="2" t="s">
        <v>34</v>
      </c>
      <c r="G154" s="2" t="n">
        <v>74570</v>
      </c>
      <c r="H154" s="2" t="n">
        <v>7180</v>
      </c>
      <c r="I154" s="2" t="n">
        <v>1294</v>
      </c>
      <c r="J154" s="2" t="n">
        <v>38230.7</v>
      </c>
      <c r="K154" s="2" t="n">
        <v>95843.03</v>
      </c>
      <c r="L154" s="2" t="n">
        <v>2014</v>
      </c>
      <c r="M154" s="2" t="n">
        <f aca="false">H154/G154*100</f>
        <v>9.62853694515221</v>
      </c>
      <c r="N154" s="2" t="n">
        <f aca="false">I154/H154*100</f>
        <v>18.0222841225627</v>
      </c>
      <c r="O154" s="2" t="n">
        <f aca="false">(K154-J154)/J154*100</f>
        <v>150.696508303536</v>
      </c>
      <c r="P154" s="2" t="n">
        <f aca="false">J154/L154</f>
        <v>18.9824726911619</v>
      </c>
      <c r="Q154" s="2" t="n">
        <f aca="false">J154/I154</f>
        <v>29.5445904173107</v>
      </c>
    </row>
    <row r="155" customFormat="false" ht="15" hidden="false" customHeight="false" outlineLevel="0" collapsed="false">
      <c r="A155" s="3" t="s">
        <v>398</v>
      </c>
      <c r="B155" s="3" t="s">
        <v>89</v>
      </c>
      <c r="C155" s="3" t="s">
        <v>19</v>
      </c>
      <c r="D155" s="3" t="s">
        <v>399</v>
      </c>
      <c r="E155" s="3" t="s">
        <v>400</v>
      </c>
      <c r="F155" s="3" t="s">
        <v>28</v>
      </c>
      <c r="G155" s="3" t="n">
        <v>151673</v>
      </c>
      <c r="H155" s="3" t="n">
        <v>17977</v>
      </c>
      <c r="I155" s="3" t="n">
        <v>3710</v>
      </c>
      <c r="J155" s="3" t="n">
        <v>114444.09</v>
      </c>
      <c r="K155" s="3" t="n">
        <v>248873.63</v>
      </c>
      <c r="L155" s="3" t="n">
        <v>7157</v>
      </c>
      <c r="M155" s="3" t="n">
        <f aca="false">H155/G155*100</f>
        <v>11.8524720945719</v>
      </c>
      <c r="N155" s="3" t="n">
        <f aca="false">I155/H155*100</f>
        <v>20.637481226011</v>
      </c>
      <c r="O155" s="3" t="n">
        <f aca="false">(K155-J155)/J155*100</f>
        <v>117.463068647756</v>
      </c>
      <c r="P155" s="3" t="n">
        <f aca="false">J155/L155</f>
        <v>15.9905113874528</v>
      </c>
      <c r="Q155" s="3" t="n">
        <f aca="false">J155/I155</f>
        <v>30.8474636118598</v>
      </c>
    </row>
    <row r="156" customFormat="false" ht="15" hidden="false" customHeight="false" outlineLevel="0" collapsed="false">
      <c r="A156" s="2" t="s">
        <v>401</v>
      </c>
      <c r="B156" s="2" t="s">
        <v>85</v>
      </c>
      <c r="C156" s="2" t="s">
        <v>25</v>
      </c>
      <c r="D156" s="2" t="s">
        <v>292</v>
      </c>
      <c r="E156" s="2" t="s">
        <v>176</v>
      </c>
      <c r="F156" s="2" t="s">
        <v>64</v>
      </c>
      <c r="G156" s="2" t="n">
        <v>181195</v>
      </c>
      <c r="H156" s="2" t="n">
        <v>21237</v>
      </c>
      <c r="I156" s="2" t="n">
        <v>1064</v>
      </c>
      <c r="J156" s="2" t="n">
        <v>187698.76</v>
      </c>
      <c r="K156" s="2" t="n">
        <v>433401.77</v>
      </c>
      <c r="L156" s="2" t="n">
        <v>1785</v>
      </c>
      <c r="M156" s="2" t="n">
        <f aca="false">H156/G156*100</f>
        <v>11.7205220894616</v>
      </c>
      <c r="N156" s="2" t="n">
        <f aca="false">I156/H156*100</f>
        <v>5.01012384046711</v>
      </c>
      <c r="O156" s="2" t="n">
        <f aca="false">(K156-J156)/J156*100</f>
        <v>130.902841340028</v>
      </c>
      <c r="P156" s="2" t="n">
        <f aca="false">J156/L156</f>
        <v>105.153366946779</v>
      </c>
      <c r="Q156" s="2" t="n">
        <f aca="false">J156/I156</f>
        <v>176.408609022556</v>
      </c>
    </row>
    <row r="157" customFormat="false" ht="15" hidden="false" customHeight="false" outlineLevel="0" collapsed="false">
      <c r="A157" s="3" t="s">
        <v>402</v>
      </c>
      <c r="B157" s="3" t="s">
        <v>89</v>
      </c>
      <c r="C157" s="3" t="s">
        <v>19</v>
      </c>
      <c r="D157" s="3" t="s">
        <v>232</v>
      </c>
      <c r="E157" s="3" t="s">
        <v>154</v>
      </c>
      <c r="F157" s="3" t="s">
        <v>22</v>
      </c>
      <c r="G157" s="3" t="n">
        <v>21923</v>
      </c>
      <c r="H157" s="3" t="n">
        <v>792</v>
      </c>
      <c r="I157" s="3" t="n">
        <v>124</v>
      </c>
      <c r="J157" s="3" t="n">
        <v>27938.02</v>
      </c>
      <c r="K157" s="3" t="n">
        <v>39290.49</v>
      </c>
      <c r="L157" s="3" t="n">
        <v>218</v>
      </c>
      <c r="M157" s="3" t="n">
        <f aca="false">H157/G157*100</f>
        <v>3.61264425489212</v>
      </c>
      <c r="N157" s="3" t="n">
        <f aca="false">I157/H157*100</f>
        <v>15.6565656565657</v>
      </c>
      <c r="O157" s="3" t="n">
        <f aca="false">(K157-J157)/J157*100</f>
        <v>40.6344830449688</v>
      </c>
      <c r="P157" s="3" t="n">
        <f aca="false">J157/L157</f>
        <v>128.156055045872</v>
      </c>
      <c r="Q157" s="3" t="n">
        <f aca="false">J157/I157</f>
        <v>225.306612903226</v>
      </c>
    </row>
    <row r="158" customFormat="false" ht="15" hidden="false" customHeight="false" outlineLevel="0" collapsed="false">
      <c r="A158" s="2" t="s">
        <v>403</v>
      </c>
      <c r="B158" s="2" t="s">
        <v>114</v>
      </c>
      <c r="C158" s="2" t="s">
        <v>61</v>
      </c>
      <c r="D158" s="2" t="s">
        <v>404</v>
      </c>
      <c r="E158" s="2" t="s">
        <v>405</v>
      </c>
      <c r="F158" s="2" t="s">
        <v>42</v>
      </c>
      <c r="G158" s="2" t="n">
        <v>65273</v>
      </c>
      <c r="H158" s="2" t="n">
        <v>5290</v>
      </c>
      <c r="I158" s="2" t="n">
        <v>1277</v>
      </c>
      <c r="J158" s="2" t="n">
        <v>73886.23</v>
      </c>
      <c r="K158" s="2" t="n">
        <v>204578.58</v>
      </c>
      <c r="L158" s="2" t="n">
        <v>1882</v>
      </c>
      <c r="M158" s="2" t="n">
        <f aca="false">H158/G158*100</f>
        <v>8.10442296202105</v>
      </c>
      <c r="N158" s="2" t="n">
        <f aca="false">I158/H158*100</f>
        <v>24.1398865784499</v>
      </c>
      <c r="O158" s="2" t="n">
        <f aca="false">(K158-J158)/J158*100</f>
        <v>176.883229798029</v>
      </c>
      <c r="P158" s="2" t="n">
        <f aca="false">J158/L158</f>
        <v>39.2594208289054</v>
      </c>
      <c r="Q158" s="2" t="n">
        <f aca="false">J158/I158</f>
        <v>57.8592247454973</v>
      </c>
    </row>
    <row r="159" customFormat="false" ht="15" hidden="false" customHeight="false" outlineLevel="0" collapsed="false">
      <c r="A159" s="3" t="s">
        <v>406</v>
      </c>
      <c r="B159" s="3" t="s">
        <v>66</v>
      </c>
      <c r="C159" s="3" t="s">
        <v>61</v>
      </c>
      <c r="D159" s="3" t="s">
        <v>93</v>
      </c>
      <c r="E159" s="3" t="s">
        <v>407</v>
      </c>
      <c r="F159" s="3" t="s">
        <v>28</v>
      </c>
      <c r="G159" s="3" t="n">
        <v>183611</v>
      </c>
      <c r="H159" s="3" t="n">
        <v>21721</v>
      </c>
      <c r="I159" s="3" t="n">
        <v>2570</v>
      </c>
      <c r="J159" s="3" t="n">
        <v>100062.88</v>
      </c>
      <c r="K159" s="3" t="n">
        <v>258050.3</v>
      </c>
      <c r="L159" s="3" t="n">
        <v>3116</v>
      </c>
      <c r="M159" s="3" t="n">
        <f aca="false">H159/G159*100</f>
        <v>11.8299012586392</v>
      </c>
      <c r="N159" s="3" t="n">
        <f aca="false">I159/H159*100</f>
        <v>11.8318677777266</v>
      </c>
      <c r="O159" s="3" t="n">
        <f aca="false">(K159-J159)/J159*100</f>
        <v>157.888139937607</v>
      </c>
      <c r="P159" s="3" t="n">
        <f aca="false">J159/L159</f>
        <v>32.1126059050064</v>
      </c>
      <c r="Q159" s="3" t="n">
        <f aca="false">J159/I159</f>
        <v>38.9349727626459</v>
      </c>
    </row>
    <row r="160" customFormat="false" ht="15" hidden="false" customHeight="false" outlineLevel="0" collapsed="false">
      <c r="A160" s="2" t="s">
        <v>408</v>
      </c>
      <c r="B160" s="2" t="s">
        <v>73</v>
      </c>
      <c r="C160" s="2" t="s">
        <v>25</v>
      </c>
      <c r="D160" s="2" t="s">
        <v>409</v>
      </c>
      <c r="E160" s="2" t="s">
        <v>369</v>
      </c>
      <c r="F160" s="2" t="s">
        <v>28</v>
      </c>
      <c r="G160" s="2" t="n">
        <v>12510</v>
      </c>
      <c r="H160" s="2" t="n">
        <v>1091</v>
      </c>
      <c r="I160" s="2" t="n">
        <v>144</v>
      </c>
      <c r="J160" s="2" t="n">
        <v>180624.61</v>
      </c>
      <c r="K160" s="2" t="n">
        <v>508925.96</v>
      </c>
      <c r="L160" s="2" t="n">
        <v>260</v>
      </c>
      <c r="M160" s="2" t="n">
        <f aca="false">H160/G160*100</f>
        <v>8.72102318145484</v>
      </c>
      <c r="N160" s="2" t="n">
        <f aca="false">I160/H160*100</f>
        <v>13.198900091659</v>
      </c>
      <c r="O160" s="2" t="n">
        <f aca="false">(K160-J160)/J160*100</f>
        <v>181.758925320309</v>
      </c>
      <c r="P160" s="2" t="n">
        <f aca="false">J160/L160</f>
        <v>694.710038461538</v>
      </c>
      <c r="Q160" s="2" t="n">
        <f aca="false">J160/I160</f>
        <v>1254.33756944444</v>
      </c>
    </row>
    <row r="161" customFormat="false" ht="15" hidden="false" customHeight="false" outlineLevel="0" collapsed="false">
      <c r="A161" s="3" t="s">
        <v>410</v>
      </c>
      <c r="B161" s="3" t="s">
        <v>50</v>
      </c>
      <c r="C161" s="3" t="s">
        <v>31</v>
      </c>
      <c r="D161" s="3" t="s">
        <v>45</v>
      </c>
      <c r="E161" s="3" t="s">
        <v>283</v>
      </c>
      <c r="F161" s="3" t="s">
        <v>28</v>
      </c>
      <c r="G161" s="3" t="n">
        <v>186225</v>
      </c>
      <c r="H161" s="3" t="n">
        <v>6022</v>
      </c>
      <c r="I161" s="3" t="n">
        <v>1471</v>
      </c>
      <c r="J161" s="3" t="n">
        <v>84629.64</v>
      </c>
      <c r="K161" s="3" t="n">
        <v>218599.63</v>
      </c>
      <c r="L161" s="3" t="n">
        <v>2220</v>
      </c>
      <c r="M161" s="3" t="n">
        <f aca="false">H161/G161*100</f>
        <v>3.23372264733521</v>
      </c>
      <c r="N161" s="3" t="n">
        <f aca="false">I161/H161*100</f>
        <v>24.4271006310196</v>
      </c>
      <c r="O161" s="3" t="n">
        <f aca="false">(K161-J161)/J161*100</f>
        <v>158.301500514477</v>
      </c>
      <c r="P161" s="3" t="n">
        <f aca="false">J161/L161</f>
        <v>38.1214594594595</v>
      </c>
      <c r="Q161" s="3" t="n">
        <f aca="false">J161/I161</f>
        <v>57.5320462270564</v>
      </c>
    </row>
    <row r="162" customFormat="false" ht="15" hidden="false" customHeight="false" outlineLevel="0" collapsed="false">
      <c r="A162" s="2" t="s">
        <v>411</v>
      </c>
      <c r="B162" s="2" t="s">
        <v>85</v>
      </c>
      <c r="C162" s="2" t="s">
        <v>25</v>
      </c>
      <c r="D162" s="2" t="s">
        <v>412</v>
      </c>
      <c r="E162" s="2" t="s">
        <v>413</v>
      </c>
      <c r="F162" s="2" t="s">
        <v>28</v>
      </c>
      <c r="G162" s="2" t="n">
        <v>60591</v>
      </c>
      <c r="H162" s="2" t="n">
        <v>3905</v>
      </c>
      <c r="I162" s="2" t="n">
        <v>368</v>
      </c>
      <c r="J162" s="2" t="n">
        <v>18659.61</v>
      </c>
      <c r="K162" s="2" t="n">
        <v>34457.01</v>
      </c>
      <c r="L162" s="2" t="n">
        <v>712</v>
      </c>
      <c r="M162" s="2" t="n">
        <f aca="false">H162/G162*100</f>
        <v>6.44485154560908</v>
      </c>
      <c r="N162" s="2" t="n">
        <f aca="false">I162/H162*100</f>
        <v>9.42381562099872</v>
      </c>
      <c r="O162" s="2" t="n">
        <f aca="false">(K162-J162)/J162*100</f>
        <v>84.6609334278691</v>
      </c>
      <c r="P162" s="2" t="n">
        <f aca="false">J162/L162</f>
        <v>26.2073174157303</v>
      </c>
      <c r="Q162" s="2" t="n">
        <f aca="false">J162/I162</f>
        <v>50.7054619565217</v>
      </c>
    </row>
    <row r="163" customFormat="false" ht="15" hidden="false" customHeight="false" outlineLevel="0" collapsed="false">
      <c r="A163" s="3" t="s">
        <v>414</v>
      </c>
      <c r="B163" s="3" t="s">
        <v>66</v>
      </c>
      <c r="C163" s="3" t="s">
        <v>61</v>
      </c>
      <c r="D163" s="3" t="s">
        <v>273</v>
      </c>
      <c r="E163" s="3" t="s">
        <v>415</v>
      </c>
      <c r="F163" s="3" t="s">
        <v>28</v>
      </c>
      <c r="G163" s="3" t="n">
        <v>71409</v>
      </c>
      <c r="H163" s="3" t="n">
        <v>8427</v>
      </c>
      <c r="I163" s="3" t="n">
        <v>2051</v>
      </c>
      <c r="J163" s="3" t="n">
        <v>21807.27</v>
      </c>
      <c r="K163" s="3" t="n">
        <v>50887.86</v>
      </c>
      <c r="L163" s="3" t="n">
        <v>3616</v>
      </c>
      <c r="M163" s="3" t="n">
        <f aca="false">H163/G163*100</f>
        <v>11.8010334831744</v>
      </c>
      <c r="N163" s="3" t="n">
        <f aca="false">I163/H163*100</f>
        <v>24.3384359795894</v>
      </c>
      <c r="O163" s="3" t="n">
        <f aca="false">(K163-J163)/J163*100</f>
        <v>133.352730534359</v>
      </c>
      <c r="P163" s="3" t="n">
        <f aca="false">J163/L163</f>
        <v>6.03077157079646</v>
      </c>
      <c r="Q163" s="3" t="n">
        <f aca="false">J163/I163</f>
        <v>10.632506094588</v>
      </c>
    </row>
    <row r="164" customFormat="false" ht="15" hidden="false" customHeight="false" outlineLevel="0" collapsed="false">
      <c r="A164" s="2" t="s">
        <v>416</v>
      </c>
      <c r="B164" s="2" t="s">
        <v>18</v>
      </c>
      <c r="C164" s="2" t="s">
        <v>19</v>
      </c>
      <c r="D164" s="2" t="s">
        <v>417</v>
      </c>
      <c r="E164" s="2" t="s">
        <v>418</v>
      </c>
      <c r="F164" s="2" t="s">
        <v>22</v>
      </c>
      <c r="G164" s="2" t="n">
        <v>39083</v>
      </c>
      <c r="H164" s="2" t="n">
        <v>4181</v>
      </c>
      <c r="I164" s="2" t="n">
        <v>684</v>
      </c>
      <c r="J164" s="2" t="n">
        <v>106392.09</v>
      </c>
      <c r="K164" s="2" t="n">
        <v>262693.34</v>
      </c>
      <c r="L164" s="2" t="n">
        <v>1181</v>
      </c>
      <c r="M164" s="2" t="n">
        <f aca="false">H164/G164*100</f>
        <v>10.6977458229921</v>
      </c>
      <c r="N164" s="2" t="n">
        <f aca="false">I164/H164*100</f>
        <v>16.3597225544128</v>
      </c>
      <c r="O164" s="2" t="n">
        <f aca="false">(K164-J164)/J164*100</f>
        <v>146.910592695378</v>
      </c>
      <c r="P164" s="2" t="n">
        <f aca="false">J164/L164</f>
        <v>90.0864436917866</v>
      </c>
      <c r="Q164" s="2" t="n">
        <f aca="false">J164/I164</f>
        <v>155.54399122807</v>
      </c>
    </row>
    <row r="165" customFormat="false" ht="15" hidden="false" customHeight="false" outlineLevel="0" collapsed="false">
      <c r="A165" s="3" t="s">
        <v>419</v>
      </c>
      <c r="B165" s="3" t="s">
        <v>121</v>
      </c>
      <c r="C165" s="3" t="s">
        <v>19</v>
      </c>
      <c r="D165" s="3" t="s">
        <v>156</v>
      </c>
      <c r="E165" s="3" t="s">
        <v>133</v>
      </c>
      <c r="F165" s="3" t="s">
        <v>64</v>
      </c>
      <c r="G165" s="3" t="n">
        <v>164183</v>
      </c>
      <c r="H165" s="3" t="n">
        <v>5389</v>
      </c>
      <c r="I165" s="3" t="n">
        <v>339</v>
      </c>
      <c r="J165" s="3" t="n">
        <v>63030.53</v>
      </c>
      <c r="K165" s="3" t="n">
        <v>158255.64</v>
      </c>
      <c r="L165" s="3" t="n">
        <v>468</v>
      </c>
      <c r="M165" s="3" t="n">
        <f aca="false">H165/G165*100</f>
        <v>3.2823130287545</v>
      </c>
      <c r="N165" s="3" t="n">
        <f aca="false">I165/H165*100</f>
        <v>6.2905919465578</v>
      </c>
      <c r="O165" s="3" t="n">
        <f aca="false">(K165-J165)/J165*100</f>
        <v>151.077755494044</v>
      </c>
      <c r="P165" s="3" t="n">
        <f aca="false">J165/L165</f>
        <v>134.68061965812</v>
      </c>
      <c r="Q165" s="3" t="n">
        <f aca="false">J165/I165</f>
        <v>185.930766961652</v>
      </c>
    </row>
    <row r="166" customFormat="false" ht="15" hidden="false" customHeight="false" outlineLevel="0" collapsed="false">
      <c r="A166" s="2" t="s">
        <v>420</v>
      </c>
      <c r="B166" s="2" t="s">
        <v>121</v>
      </c>
      <c r="C166" s="2" t="s">
        <v>19</v>
      </c>
      <c r="D166" s="2" t="s">
        <v>421</v>
      </c>
      <c r="E166" s="2" t="s">
        <v>422</v>
      </c>
      <c r="F166" s="2" t="s">
        <v>28</v>
      </c>
      <c r="G166" s="2" t="n">
        <v>191662</v>
      </c>
      <c r="H166" s="2" t="n">
        <v>16822</v>
      </c>
      <c r="I166" s="2" t="n">
        <v>2908</v>
      </c>
      <c r="J166" s="2" t="n">
        <v>140925.87</v>
      </c>
      <c r="K166" s="2" t="n">
        <v>455350.43</v>
      </c>
      <c r="L166" s="2" t="n">
        <v>3494</v>
      </c>
      <c r="M166" s="2" t="n">
        <f aca="false">H166/G166*100</f>
        <v>8.77690935083637</v>
      </c>
      <c r="N166" s="2" t="n">
        <f aca="false">I166/H166*100</f>
        <v>17.2868862204256</v>
      </c>
      <c r="O166" s="2" t="n">
        <f aca="false">(K166-J166)/J166*100</f>
        <v>223.113442549619</v>
      </c>
      <c r="P166" s="2" t="n">
        <f aca="false">J166/L166</f>
        <v>40.333677733257</v>
      </c>
      <c r="Q166" s="2" t="n">
        <f aca="false">J166/I166</f>
        <v>48.4614408528198</v>
      </c>
    </row>
    <row r="167" customFormat="false" ht="15" hidden="false" customHeight="false" outlineLevel="0" collapsed="false">
      <c r="A167" s="3" t="s">
        <v>423</v>
      </c>
      <c r="B167" s="3" t="s">
        <v>114</v>
      </c>
      <c r="C167" s="3" t="s">
        <v>61</v>
      </c>
      <c r="D167" s="3" t="s">
        <v>424</v>
      </c>
      <c r="E167" s="3" t="s">
        <v>67</v>
      </c>
      <c r="F167" s="3" t="s">
        <v>64</v>
      </c>
      <c r="G167" s="3" t="n">
        <v>116660</v>
      </c>
      <c r="H167" s="3" t="n">
        <v>5530</v>
      </c>
      <c r="I167" s="3" t="n">
        <v>1028</v>
      </c>
      <c r="J167" s="3" t="n">
        <v>101318.54</v>
      </c>
      <c r="K167" s="3" t="n">
        <v>205816.99</v>
      </c>
      <c r="L167" s="3" t="n">
        <v>1857</v>
      </c>
      <c r="M167" s="3" t="n">
        <f aca="false">H167/G167*100</f>
        <v>4.74027087262129</v>
      </c>
      <c r="N167" s="3" t="n">
        <f aca="false">I167/H167*100</f>
        <v>18.5895117540687</v>
      </c>
      <c r="O167" s="3" t="n">
        <f aca="false">(K167-J167)/J167*100</f>
        <v>103.138527262631</v>
      </c>
      <c r="P167" s="3" t="n">
        <f aca="false">J167/L167</f>
        <v>54.5603338718363</v>
      </c>
      <c r="Q167" s="3" t="n">
        <f aca="false">J167/I167</f>
        <v>98.5588910505837</v>
      </c>
    </row>
    <row r="168" customFormat="false" ht="15" hidden="false" customHeight="false" outlineLevel="0" collapsed="false">
      <c r="A168" s="2" t="s">
        <v>425</v>
      </c>
      <c r="B168" s="2" t="s">
        <v>82</v>
      </c>
      <c r="C168" s="2" t="s">
        <v>25</v>
      </c>
      <c r="D168" s="2" t="s">
        <v>426</v>
      </c>
      <c r="E168" s="2" t="s">
        <v>427</v>
      </c>
      <c r="F168" s="2" t="s">
        <v>42</v>
      </c>
      <c r="G168" s="2" t="n">
        <v>92900</v>
      </c>
      <c r="H168" s="2" t="n">
        <v>1905</v>
      </c>
      <c r="I168" s="2" t="n">
        <v>169</v>
      </c>
      <c r="J168" s="2" t="n">
        <v>30134.65</v>
      </c>
      <c r="K168" s="2" t="n">
        <v>75794.22</v>
      </c>
      <c r="L168" s="2" t="n">
        <v>206</v>
      </c>
      <c r="M168" s="2" t="n">
        <f aca="false">H168/G168*100</f>
        <v>2.05059203444564</v>
      </c>
      <c r="N168" s="2" t="n">
        <f aca="false">I168/H168*100</f>
        <v>8.87139107611549</v>
      </c>
      <c r="O168" s="2" t="n">
        <f aca="false">(K168-J168)/J168*100</f>
        <v>151.51850112744</v>
      </c>
      <c r="P168" s="2" t="n">
        <f aca="false">J168/L168</f>
        <v>146.284708737864</v>
      </c>
      <c r="Q168" s="2" t="n">
        <f aca="false">J168/I168</f>
        <v>178.311538461538</v>
      </c>
    </row>
    <row r="169" customFormat="false" ht="15" hidden="false" customHeight="false" outlineLevel="0" collapsed="false">
      <c r="A169" s="3" t="s">
        <v>428</v>
      </c>
      <c r="B169" s="3" t="s">
        <v>117</v>
      </c>
      <c r="C169" s="3" t="s">
        <v>31</v>
      </c>
      <c r="D169" s="3" t="s">
        <v>429</v>
      </c>
      <c r="E169" s="3" t="s">
        <v>430</v>
      </c>
      <c r="F169" s="3" t="s">
        <v>64</v>
      </c>
      <c r="G169" s="3" t="n">
        <v>61610</v>
      </c>
      <c r="H169" s="3" t="n">
        <v>2245</v>
      </c>
      <c r="I169" s="3" t="n">
        <v>251</v>
      </c>
      <c r="J169" s="3" t="n">
        <v>130809.02</v>
      </c>
      <c r="K169" s="3" t="n">
        <v>186071.91</v>
      </c>
      <c r="L169" s="3" t="n">
        <v>397</v>
      </c>
      <c r="M169" s="3" t="n">
        <f aca="false">H169/G169*100</f>
        <v>3.64388897906184</v>
      </c>
      <c r="N169" s="3" t="n">
        <f aca="false">I169/H169*100</f>
        <v>11.1804008908686</v>
      </c>
      <c r="O169" s="3" t="n">
        <f aca="false">(K169-J169)/J169*100</f>
        <v>42.24700253851</v>
      </c>
      <c r="P169" s="3" t="n">
        <f aca="false">J169/L169</f>
        <v>329.493753148615</v>
      </c>
      <c r="Q169" s="3" t="n">
        <f aca="false">J169/I169</f>
        <v>521.151474103586</v>
      </c>
    </row>
    <row r="170" customFormat="false" ht="15" hidden="false" customHeight="false" outlineLevel="0" collapsed="false">
      <c r="A170" s="2" t="s">
        <v>431</v>
      </c>
      <c r="B170" s="2" t="s">
        <v>66</v>
      </c>
      <c r="C170" s="2" t="s">
        <v>61</v>
      </c>
      <c r="D170" s="2" t="s">
        <v>245</v>
      </c>
      <c r="E170" s="2" t="s">
        <v>299</v>
      </c>
      <c r="F170" s="2" t="s">
        <v>22</v>
      </c>
      <c r="G170" s="2" t="n">
        <v>38269</v>
      </c>
      <c r="H170" s="2" t="n">
        <v>2577</v>
      </c>
      <c r="I170" s="2" t="n">
        <v>623</v>
      </c>
      <c r="J170" s="2" t="n">
        <v>169015.74</v>
      </c>
      <c r="K170" s="2" t="n">
        <v>522217.69</v>
      </c>
      <c r="L170" s="2" t="n">
        <v>1006</v>
      </c>
      <c r="M170" s="2" t="n">
        <f aca="false">H170/G170*100</f>
        <v>6.73390995322585</v>
      </c>
      <c r="N170" s="2" t="n">
        <f aca="false">I170/H170*100</f>
        <v>24.1753977493209</v>
      </c>
      <c r="O170" s="2" t="n">
        <f aca="false">(K170-J170)/J170*100</f>
        <v>208.975773498965</v>
      </c>
      <c r="P170" s="2" t="n">
        <f aca="false">J170/L170</f>
        <v>168.007693836978</v>
      </c>
      <c r="Q170" s="2" t="n">
        <f aca="false">J170/I170</f>
        <v>271.293322632424</v>
      </c>
    </row>
    <row r="171" customFormat="false" ht="15" hidden="false" customHeight="false" outlineLevel="0" collapsed="false">
      <c r="A171" s="3" t="s">
        <v>432</v>
      </c>
      <c r="B171" s="3" t="s">
        <v>73</v>
      </c>
      <c r="C171" s="3" t="s">
        <v>25</v>
      </c>
      <c r="D171" s="3" t="s">
        <v>433</v>
      </c>
      <c r="E171" s="3" t="s">
        <v>434</v>
      </c>
      <c r="F171" s="3" t="s">
        <v>34</v>
      </c>
      <c r="G171" s="3" t="n">
        <v>173931</v>
      </c>
      <c r="H171" s="3" t="n">
        <v>11243</v>
      </c>
      <c r="I171" s="3" t="n">
        <v>842</v>
      </c>
      <c r="J171" s="3" t="n">
        <v>195287.23</v>
      </c>
      <c r="K171" s="3" t="n">
        <v>646096.68</v>
      </c>
      <c r="L171" s="3" t="n">
        <v>1264</v>
      </c>
      <c r="M171" s="3" t="n">
        <f aca="false">H171/G171*100</f>
        <v>6.46405758605424</v>
      </c>
      <c r="N171" s="3" t="n">
        <f aca="false">I171/H171*100</f>
        <v>7.4891043315841</v>
      </c>
      <c r="O171" s="3" t="n">
        <f aca="false">(K171-J171)/J171*100</f>
        <v>230.844305590284</v>
      </c>
      <c r="P171" s="3" t="n">
        <f aca="false">J171/L171</f>
        <v>154.499390822785</v>
      </c>
      <c r="Q171" s="3" t="n">
        <f aca="false">J171/I171</f>
        <v>231.93257719715</v>
      </c>
    </row>
    <row r="172" customFormat="false" ht="15" hidden="false" customHeight="false" outlineLevel="0" collapsed="false">
      <c r="A172" s="2" t="s">
        <v>435</v>
      </c>
      <c r="B172" s="2" t="s">
        <v>50</v>
      </c>
      <c r="C172" s="2" t="s">
        <v>31</v>
      </c>
      <c r="D172" s="2" t="s">
        <v>436</v>
      </c>
      <c r="E172" s="2" t="s">
        <v>382</v>
      </c>
      <c r="F172" s="2" t="s">
        <v>42</v>
      </c>
      <c r="G172" s="2" t="n">
        <v>24362</v>
      </c>
      <c r="H172" s="2" t="n">
        <v>1221</v>
      </c>
      <c r="I172" s="2" t="n">
        <v>213</v>
      </c>
      <c r="J172" s="2" t="n">
        <v>27171.2</v>
      </c>
      <c r="K172" s="2" t="n">
        <v>74948.99</v>
      </c>
      <c r="L172" s="2" t="n">
        <v>350</v>
      </c>
      <c r="M172" s="2" t="n">
        <f aca="false">H172/G172*100</f>
        <v>5.01190378458255</v>
      </c>
      <c r="N172" s="2" t="n">
        <f aca="false">I172/H172*100</f>
        <v>17.4447174447174</v>
      </c>
      <c r="O172" s="2" t="n">
        <f aca="false">(K172-J172)/J172*100</f>
        <v>175.839823047933</v>
      </c>
      <c r="P172" s="2" t="n">
        <f aca="false">J172/L172</f>
        <v>77.632</v>
      </c>
      <c r="Q172" s="2" t="n">
        <f aca="false">J172/I172</f>
        <v>127.564319248826</v>
      </c>
    </row>
    <row r="173" customFormat="false" ht="15" hidden="false" customHeight="false" outlineLevel="0" collapsed="false">
      <c r="A173" s="3" t="s">
        <v>437</v>
      </c>
      <c r="B173" s="3" t="s">
        <v>50</v>
      </c>
      <c r="C173" s="3" t="s">
        <v>31</v>
      </c>
      <c r="D173" s="3" t="s">
        <v>343</v>
      </c>
      <c r="E173" s="3" t="s">
        <v>422</v>
      </c>
      <c r="F173" s="3" t="s">
        <v>22</v>
      </c>
      <c r="G173" s="3" t="n">
        <v>71108</v>
      </c>
      <c r="H173" s="3" t="n">
        <v>7570</v>
      </c>
      <c r="I173" s="3" t="n">
        <v>1570</v>
      </c>
      <c r="J173" s="3" t="n">
        <v>130441.51</v>
      </c>
      <c r="K173" s="3" t="n">
        <v>292560.2</v>
      </c>
      <c r="L173" s="3" t="n">
        <v>2467</v>
      </c>
      <c r="M173" s="3" t="n">
        <f aca="false">H173/G173*100</f>
        <v>10.6457782527986</v>
      </c>
      <c r="N173" s="3" t="n">
        <f aca="false">I173/H173*100</f>
        <v>20.7397622192867</v>
      </c>
      <c r="O173" s="3" t="n">
        <f aca="false">(K173-J173)/J173*100</f>
        <v>124.284585482029</v>
      </c>
      <c r="P173" s="3" t="n">
        <f aca="false">J173/L173</f>
        <v>52.8745480340495</v>
      </c>
      <c r="Q173" s="3" t="n">
        <f aca="false">J173/I173</f>
        <v>83.0837643312102</v>
      </c>
    </row>
    <row r="174" customFormat="false" ht="15" hidden="false" customHeight="false" outlineLevel="0" collapsed="false">
      <c r="A174" s="2" t="s">
        <v>438</v>
      </c>
      <c r="B174" s="2" t="s">
        <v>30</v>
      </c>
      <c r="C174" s="2" t="s">
        <v>31</v>
      </c>
      <c r="D174" s="2" t="s">
        <v>178</v>
      </c>
      <c r="E174" s="2" t="s">
        <v>285</v>
      </c>
      <c r="F174" s="2" t="s">
        <v>22</v>
      </c>
      <c r="G174" s="2" t="n">
        <v>180635</v>
      </c>
      <c r="H174" s="2" t="n">
        <v>20548</v>
      </c>
      <c r="I174" s="2" t="n">
        <v>4244</v>
      </c>
      <c r="J174" s="2" t="n">
        <v>99004.2</v>
      </c>
      <c r="K174" s="2" t="n">
        <v>193537.91</v>
      </c>
      <c r="L174" s="2" t="n">
        <v>5746</v>
      </c>
      <c r="M174" s="2" t="n">
        <f aca="false">H174/G174*100</f>
        <v>11.3754255819747</v>
      </c>
      <c r="N174" s="2" t="n">
        <f aca="false">I174/H174*100</f>
        <v>20.6540782557913</v>
      </c>
      <c r="O174" s="2" t="n">
        <f aca="false">(K174-J174)/J174*100</f>
        <v>95.4845451001069</v>
      </c>
      <c r="P174" s="2" t="n">
        <f aca="false">J174/L174</f>
        <v>17.2301079011486</v>
      </c>
      <c r="Q174" s="2" t="n">
        <f aca="false">J174/I174</f>
        <v>23.3280395852969</v>
      </c>
    </row>
    <row r="175" customFormat="false" ht="15" hidden="false" customHeight="false" outlineLevel="0" collapsed="false">
      <c r="A175" s="3" t="s">
        <v>439</v>
      </c>
      <c r="B175" s="3" t="s">
        <v>117</v>
      </c>
      <c r="C175" s="3" t="s">
        <v>31</v>
      </c>
      <c r="D175" s="3" t="s">
        <v>440</v>
      </c>
      <c r="E175" s="3" t="s">
        <v>441</v>
      </c>
      <c r="F175" s="3" t="s">
        <v>34</v>
      </c>
      <c r="G175" s="3" t="n">
        <v>160264</v>
      </c>
      <c r="H175" s="3" t="n">
        <v>5224</v>
      </c>
      <c r="I175" s="3" t="n">
        <v>792</v>
      </c>
      <c r="J175" s="3" t="n">
        <v>80747.37</v>
      </c>
      <c r="K175" s="3" t="n">
        <v>186301.82</v>
      </c>
      <c r="L175" s="3" t="n">
        <v>1343</v>
      </c>
      <c r="M175" s="3" t="n">
        <f aca="false">H175/G175*100</f>
        <v>3.25962162431987</v>
      </c>
      <c r="N175" s="3" t="n">
        <f aca="false">I175/H175*100</f>
        <v>15.1607963246554</v>
      </c>
      <c r="O175" s="3" t="n">
        <f aca="false">(K175-J175)/J175*100</f>
        <v>130.721842705218</v>
      </c>
      <c r="P175" s="3" t="n">
        <f aca="false">J175/L175</f>
        <v>60.1246239761727</v>
      </c>
      <c r="Q175" s="3" t="n">
        <f aca="false">J175/I175</f>
        <v>101.95375</v>
      </c>
    </row>
    <row r="176" customFormat="false" ht="15" hidden="false" customHeight="false" outlineLevel="0" collapsed="false">
      <c r="A176" s="2" t="s">
        <v>442</v>
      </c>
      <c r="B176" s="2" t="s">
        <v>44</v>
      </c>
      <c r="C176" s="2" t="s">
        <v>31</v>
      </c>
      <c r="D176" s="2" t="s">
        <v>167</v>
      </c>
      <c r="E176" s="2" t="s">
        <v>186</v>
      </c>
      <c r="F176" s="2" t="s">
        <v>34</v>
      </c>
      <c r="G176" s="2" t="n">
        <v>43470</v>
      </c>
      <c r="H176" s="2" t="n">
        <v>2224</v>
      </c>
      <c r="I176" s="2" t="n">
        <v>305</v>
      </c>
      <c r="J176" s="2" t="n">
        <v>192552.15</v>
      </c>
      <c r="K176" s="2" t="n">
        <v>565151.99</v>
      </c>
      <c r="L176" s="2" t="n">
        <v>441</v>
      </c>
      <c r="M176" s="2" t="n">
        <f aca="false">H176/G176*100</f>
        <v>5.11617207269381</v>
      </c>
      <c r="N176" s="2" t="n">
        <f aca="false">I176/H176*100</f>
        <v>13.7140287769784</v>
      </c>
      <c r="O176" s="2" t="n">
        <f aca="false">(K176-J176)/J176*100</f>
        <v>193.505935924372</v>
      </c>
      <c r="P176" s="2" t="n">
        <f aca="false">J176/L176</f>
        <v>436.62619047619</v>
      </c>
      <c r="Q176" s="2" t="n">
        <f aca="false">J176/I176</f>
        <v>631.318524590164</v>
      </c>
    </row>
    <row r="177" customFormat="false" ht="15" hidden="false" customHeight="false" outlineLevel="0" collapsed="false">
      <c r="A177" s="3" t="s">
        <v>443</v>
      </c>
      <c r="B177" s="3" t="s">
        <v>85</v>
      </c>
      <c r="C177" s="3" t="s">
        <v>25</v>
      </c>
      <c r="D177" s="3" t="s">
        <v>170</v>
      </c>
      <c r="E177" s="3" t="s">
        <v>384</v>
      </c>
      <c r="F177" s="3" t="s">
        <v>22</v>
      </c>
      <c r="G177" s="3" t="n">
        <v>168159</v>
      </c>
      <c r="H177" s="3" t="n">
        <v>9129</v>
      </c>
      <c r="I177" s="3" t="n">
        <v>1129</v>
      </c>
      <c r="J177" s="3" t="n">
        <v>16495.14</v>
      </c>
      <c r="K177" s="3" t="n">
        <v>42043.01</v>
      </c>
      <c r="L177" s="3" t="n">
        <v>1967</v>
      </c>
      <c r="M177" s="3" t="n">
        <f aca="false">H177/G177*100</f>
        <v>5.42879060888802</v>
      </c>
      <c r="N177" s="3" t="n">
        <f aca="false">I177/H177*100</f>
        <v>12.3671815094753</v>
      </c>
      <c r="O177" s="3" t="n">
        <f aca="false">(K177-J177)/J177*100</f>
        <v>154.881195309649</v>
      </c>
      <c r="P177" s="3" t="n">
        <f aca="false">J177/L177</f>
        <v>8.38593797661413</v>
      </c>
      <c r="Q177" s="3" t="n">
        <f aca="false">J177/I177</f>
        <v>14.6103985828167</v>
      </c>
    </row>
    <row r="178" customFormat="false" ht="15" hidden="false" customHeight="false" outlineLevel="0" collapsed="false">
      <c r="A178" s="2" t="s">
        <v>444</v>
      </c>
      <c r="B178" s="2" t="s">
        <v>50</v>
      </c>
      <c r="C178" s="2" t="s">
        <v>31</v>
      </c>
      <c r="D178" s="2" t="s">
        <v>445</v>
      </c>
      <c r="E178" s="2" t="s">
        <v>283</v>
      </c>
      <c r="F178" s="2" t="s">
        <v>42</v>
      </c>
      <c r="G178" s="2" t="n">
        <v>100129</v>
      </c>
      <c r="H178" s="2" t="n">
        <v>3959</v>
      </c>
      <c r="I178" s="2" t="n">
        <v>356</v>
      </c>
      <c r="J178" s="2" t="n">
        <v>183072.54</v>
      </c>
      <c r="K178" s="2" t="n">
        <v>550335.6</v>
      </c>
      <c r="L178" s="2" t="n">
        <v>524</v>
      </c>
      <c r="M178" s="2" t="n">
        <f aca="false">H178/G178*100</f>
        <v>3.95389946968411</v>
      </c>
      <c r="N178" s="2" t="n">
        <f aca="false">I178/H178*100</f>
        <v>8.99216973983329</v>
      </c>
      <c r="O178" s="2" t="n">
        <f aca="false">(K178-J178)/J178*100</f>
        <v>200.610675964839</v>
      </c>
      <c r="P178" s="2" t="n">
        <f aca="false">J178/L178</f>
        <v>349.375076335878</v>
      </c>
      <c r="Q178" s="2" t="n">
        <f aca="false">J178/I178</f>
        <v>514.248707865169</v>
      </c>
    </row>
    <row r="179" customFormat="false" ht="15" hidden="false" customHeight="false" outlineLevel="0" collapsed="false">
      <c r="A179" s="3" t="s">
        <v>446</v>
      </c>
      <c r="B179" s="3" t="s">
        <v>98</v>
      </c>
      <c r="C179" s="3" t="s">
        <v>61</v>
      </c>
      <c r="D179" s="3" t="s">
        <v>52</v>
      </c>
      <c r="E179" s="3" t="s">
        <v>156</v>
      </c>
      <c r="F179" s="3" t="s">
        <v>28</v>
      </c>
      <c r="G179" s="3" t="n">
        <v>171507</v>
      </c>
      <c r="H179" s="3" t="n">
        <v>8569</v>
      </c>
      <c r="I179" s="3" t="n">
        <v>991</v>
      </c>
      <c r="J179" s="3" t="n">
        <v>34396.86</v>
      </c>
      <c r="K179" s="3" t="n">
        <v>110587.37</v>
      </c>
      <c r="L179" s="3" t="n">
        <v>1911</v>
      </c>
      <c r="M179" s="3" t="n">
        <f aca="false">H179/G179*100</f>
        <v>4.99629752721463</v>
      </c>
      <c r="N179" s="3" t="n">
        <f aca="false">I179/H179*100</f>
        <v>11.5649434006302</v>
      </c>
      <c r="O179" s="3" t="n">
        <f aca="false">(K179-J179)/J179*100</f>
        <v>221.504259400422</v>
      </c>
      <c r="P179" s="3" t="n">
        <f aca="false">J179/L179</f>
        <v>17.9994034536892</v>
      </c>
      <c r="Q179" s="3" t="n">
        <f aca="false">J179/I179</f>
        <v>34.7092431886983</v>
      </c>
    </row>
    <row r="180" customFormat="false" ht="15" hidden="false" customHeight="false" outlineLevel="0" collapsed="false">
      <c r="A180" s="2" t="s">
        <v>447</v>
      </c>
      <c r="B180" s="2" t="s">
        <v>36</v>
      </c>
      <c r="C180" s="2" t="s">
        <v>19</v>
      </c>
      <c r="D180" s="2" t="s">
        <v>448</v>
      </c>
      <c r="E180" s="2" t="s">
        <v>449</v>
      </c>
      <c r="F180" s="2" t="s">
        <v>42</v>
      </c>
      <c r="G180" s="2" t="n">
        <v>132299</v>
      </c>
      <c r="H180" s="2" t="n">
        <v>10900</v>
      </c>
      <c r="I180" s="2" t="n">
        <v>1066</v>
      </c>
      <c r="J180" s="2" t="n">
        <v>150898.44</v>
      </c>
      <c r="K180" s="2" t="n">
        <v>511689.51</v>
      </c>
      <c r="L180" s="2" t="n">
        <v>1561</v>
      </c>
      <c r="M180" s="2" t="n">
        <f aca="false">H180/G180*100</f>
        <v>8.23891337047143</v>
      </c>
      <c r="N180" s="2" t="n">
        <f aca="false">I180/H180*100</f>
        <v>9.77981651376147</v>
      </c>
      <c r="O180" s="2" t="n">
        <f aca="false">(K180-J180)/J180*100</f>
        <v>239.095294822133</v>
      </c>
      <c r="P180" s="2" t="n">
        <f aca="false">J180/L180</f>
        <v>96.667802690583</v>
      </c>
      <c r="Q180" s="2" t="n">
        <f aca="false">J180/I180</f>
        <v>141.555759849906</v>
      </c>
    </row>
    <row r="181" customFormat="false" ht="15" hidden="false" customHeight="false" outlineLevel="0" collapsed="false">
      <c r="A181" s="3" t="s">
        <v>450</v>
      </c>
      <c r="B181" s="3" t="s">
        <v>121</v>
      </c>
      <c r="C181" s="3" t="s">
        <v>19</v>
      </c>
      <c r="D181" s="3" t="s">
        <v>415</v>
      </c>
      <c r="E181" s="3" t="s">
        <v>292</v>
      </c>
      <c r="F181" s="3" t="s">
        <v>64</v>
      </c>
      <c r="G181" s="3" t="n">
        <v>105110</v>
      </c>
      <c r="H181" s="3" t="n">
        <v>2206</v>
      </c>
      <c r="I181" s="3" t="n">
        <v>268</v>
      </c>
      <c r="J181" s="3" t="n">
        <v>117617.95</v>
      </c>
      <c r="K181" s="3" t="n">
        <v>179664.3</v>
      </c>
      <c r="L181" s="3" t="n">
        <v>416</v>
      </c>
      <c r="M181" s="3" t="n">
        <f aca="false">H181/G181*100</f>
        <v>2.09875368661402</v>
      </c>
      <c r="N181" s="3" t="n">
        <f aca="false">I181/H181*100</f>
        <v>12.1486854034452</v>
      </c>
      <c r="O181" s="3" t="n">
        <f aca="false">(K181-J181)/J181*100</f>
        <v>52.7524497748856</v>
      </c>
      <c r="P181" s="3" t="n">
        <f aca="false">J181/L181</f>
        <v>282.735456730769</v>
      </c>
      <c r="Q181" s="3" t="n">
        <f aca="false">J181/I181</f>
        <v>438.872947761194</v>
      </c>
    </row>
    <row r="182" customFormat="false" ht="15" hidden="false" customHeight="false" outlineLevel="0" collapsed="false">
      <c r="A182" s="2" t="s">
        <v>451</v>
      </c>
      <c r="B182" s="2" t="s">
        <v>44</v>
      </c>
      <c r="C182" s="2" t="s">
        <v>31</v>
      </c>
      <c r="D182" s="2" t="s">
        <v>172</v>
      </c>
      <c r="E182" s="2" t="s">
        <v>133</v>
      </c>
      <c r="F182" s="2" t="s">
        <v>34</v>
      </c>
      <c r="G182" s="2" t="n">
        <v>62198</v>
      </c>
      <c r="H182" s="2" t="n">
        <v>2474</v>
      </c>
      <c r="I182" s="2" t="n">
        <v>209</v>
      </c>
      <c r="J182" s="2" t="n">
        <v>178795.71</v>
      </c>
      <c r="K182" s="2" t="n">
        <v>510162.15</v>
      </c>
      <c r="L182" s="2" t="n">
        <v>307</v>
      </c>
      <c r="M182" s="2" t="n">
        <f aca="false">H182/G182*100</f>
        <v>3.97761985915946</v>
      </c>
      <c r="N182" s="2" t="n">
        <f aca="false">I182/H182*100</f>
        <v>8.44785772029103</v>
      </c>
      <c r="O182" s="2" t="n">
        <f aca="false">(K182-J182)/J182*100</f>
        <v>185.332433311739</v>
      </c>
      <c r="P182" s="2" t="n">
        <f aca="false">J182/L182</f>
        <v>582.396449511401</v>
      </c>
      <c r="Q182" s="2" t="n">
        <f aca="false">J182/I182</f>
        <v>855.481866028708</v>
      </c>
    </row>
    <row r="183" customFormat="false" ht="15" hidden="false" customHeight="false" outlineLevel="0" collapsed="false">
      <c r="A183" s="3" t="s">
        <v>452</v>
      </c>
      <c r="B183" s="3" t="s">
        <v>121</v>
      </c>
      <c r="C183" s="3" t="s">
        <v>19</v>
      </c>
      <c r="D183" s="3" t="s">
        <v>243</v>
      </c>
      <c r="E183" s="3" t="s">
        <v>453</v>
      </c>
      <c r="F183" s="3" t="s">
        <v>34</v>
      </c>
      <c r="G183" s="3" t="n">
        <v>56157</v>
      </c>
      <c r="H183" s="3" t="n">
        <v>5856</v>
      </c>
      <c r="I183" s="3" t="n">
        <v>1359</v>
      </c>
      <c r="J183" s="3" t="n">
        <v>18883.85</v>
      </c>
      <c r="K183" s="3" t="n">
        <v>52084.31</v>
      </c>
      <c r="L183" s="3" t="n">
        <v>2042</v>
      </c>
      <c r="M183" s="3" t="n">
        <f aca="false">H183/G183*100</f>
        <v>10.4279074736898</v>
      </c>
      <c r="N183" s="3" t="n">
        <f aca="false">I183/H183*100</f>
        <v>23.2069672131148</v>
      </c>
      <c r="O183" s="3" t="n">
        <f aca="false">(K183-J183)/J183*100</f>
        <v>175.814042157717</v>
      </c>
      <c r="P183" s="3" t="n">
        <f aca="false">J183/L183</f>
        <v>9.24772282076396</v>
      </c>
      <c r="Q183" s="3" t="n">
        <f aca="false">J183/I183</f>
        <v>13.8954010301692</v>
      </c>
    </row>
    <row r="184" customFormat="false" ht="15" hidden="false" customHeight="false" outlineLevel="0" collapsed="false">
      <c r="A184" s="2" t="s">
        <v>454</v>
      </c>
      <c r="B184" s="2" t="s">
        <v>114</v>
      </c>
      <c r="C184" s="2" t="s">
        <v>61</v>
      </c>
      <c r="D184" s="2" t="s">
        <v>134</v>
      </c>
      <c r="E184" s="2" t="s">
        <v>455</v>
      </c>
      <c r="F184" s="2" t="s">
        <v>28</v>
      </c>
      <c r="G184" s="2" t="n">
        <v>72953</v>
      </c>
      <c r="H184" s="2" t="n">
        <v>4155</v>
      </c>
      <c r="I184" s="2" t="n">
        <v>517</v>
      </c>
      <c r="J184" s="2" t="n">
        <v>46701.56</v>
      </c>
      <c r="K184" s="2" t="n">
        <v>112640.96</v>
      </c>
      <c r="L184" s="2" t="n">
        <v>950</v>
      </c>
      <c r="M184" s="2" t="n">
        <f aca="false">H184/G184*100</f>
        <v>5.69544775403342</v>
      </c>
      <c r="N184" s="2" t="n">
        <f aca="false">I184/H184*100</f>
        <v>12.4428399518652</v>
      </c>
      <c r="O184" s="2" t="n">
        <f aca="false">(K184-J184)/J184*100</f>
        <v>141.193142156279</v>
      </c>
      <c r="P184" s="2" t="n">
        <f aca="false">J184/L184</f>
        <v>49.1595368421053</v>
      </c>
      <c r="Q184" s="2" t="n">
        <f aca="false">J184/I184</f>
        <v>90.3318375241779</v>
      </c>
    </row>
    <row r="185" customFormat="false" ht="15" hidden="false" customHeight="false" outlineLevel="0" collapsed="false">
      <c r="A185" s="3" t="s">
        <v>456</v>
      </c>
      <c r="B185" s="3" t="s">
        <v>117</v>
      </c>
      <c r="C185" s="3" t="s">
        <v>31</v>
      </c>
      <c r="D185" s="3" t="s">
        <v>139</v>
      </c>
      <c r="E185" s="3" t="s">
        <v>455</v>
      </c>
      <c r="F185" s="3" t="s">
        <v>28</v>
      </c>
      <c r="G185" s="3" t="n">
        <v>44287</v>
      </c>
      <c r="H185" s="3" t="n">
        <v>4406</v>
      </c>
      <c r="I185" s="3" t="n">
        <v>389</v>
      </c>
      <c r="J185" s="3" t="n">
        <v>84966.17</v>
      </c>
      <c r="K185" s="3" t="n">
        <v>175097.2</v>
      </c>
      <c r="L185" s="3" t="n">
        <v>653</v>
      </c>
      <c r="M185" s="3" t="n">
        <f aca="false">H185/G185*100</f>
        <v>9.94874342357803</v>
      </c>
      <c r="N185" s="3" t="n">
        <f aca="false">I185/H185*100</f>
        <v>8.82886972310486</v>
      </c>
      <c r="O185" s="3" t="n">
        <f aca="false">(K185-J185)/J185*100</f>
        <v>106.078725214989</v>
      </c>
      <c r="P185" s="3" t="n">
        <f aca="false">J185/L185</f>
        <v>130.116646248086</v>
      </c>
      <c r="Q185" s="3" t="n">
        <f aca="false">J185/I185</f>
        <v>218.422030848329</v>
      </c>
    </row>
    <row r="186" customFormat="false" ht="15" hidden="false" customHeight="false" outlineLevel="0" collapsed="false">
      <c r="A186" s="2" t="s">
        <v>457</v>
      </c>
      <c r="B186" s="2" t="s">
        <v>89</v>
      </c>
      <c r="C186" s="2" t="s">
        <v>19</v>
      </c>
      <c r="D186" s="2" t="s">
        <v>235</v>
      </c>
      <c r="E186" s="2" t="s">
        <v>123</v>
      </c>
      <c r="F186" s="2" t="s">
        <v>34</v>
      </c>
      <c r="G186" s="2" t="n">
        <v>48945</v>
      </c>
      <c r="H186" s="2" t="n">
        <v>2582</v>
      </c>
      <c r="I186" s="2" t="n">
        <v>156</v>
      </c>
      <c r="J186" s="2" t="n">
        <v>162188.21</v>
      </c>
      <c r="K186" s="2" t="n">
        <v>520228.16</v>
      </c>
      <c r="L186" s="2" t="n">
        <v>293</v>
      </c>
      <c r="M186" s="2" t="n">
        <f aca="false">H186/G186*100</f>
        <v>5.27530902032894</v>
      </c>
      <c r="N186" s="2" t="n">
        <f aca="false">I186/H186*100</f>
        <v>6.04182804027885</v>
      </c>
      <c r="O186" s="2" t="n">
        <f aca="false">(K186-J186)/J186*100</f>
        <v>220.755842856888</v>
      </c>
      <c r="P186" s="2" t="n">
        <f aca="false">J186/L186</f>
        <v>553.54337883959</v>
      </c>
      <c r="Q186" s="2" t="n">
        <f aca="false">J186/I186</f>
        <v>1039.66801282051</v>
      </c>
    </row>
    <row r="187" customFormat="false" ht="15" hidden="false" customHeight="false" outlineLevel="0" collapsed="false">
      <c r="A187" s="3" t="s">
        <v>458</v>
      </c>
      <c r="B187" s="3" t="s">
        <v>50</v>
      </c>
      <c r="C187" s="3" t="s">
        <v>31</v>
      </c>
      <c r="D187" s="3" t="s">
        <v>146</v>
      </c>
      <c r="E187" s="3" t="s">
        <v>459</v>
      </c>
      <c r="F187" s="3" t="s">
        <v>22</v>
      </c>
      <c r="G187" s="3" t="n">
        <v>183933</v>
      </c>
      <c r="H187" s="3" t="n">
        <v>14988</v>
      </c>
      <c r="I187" s="3" t="n">
        <v>1251</v>
      </c>
      <c r="J187" s="3" t="n">
        <v>86801.43</v>
      </c>
      <c r="K187" s="3" t="n">
        <v>280331.36</v>
      </c>
      <c r="L187" s="3" t="n">
        <v>2252</v>
      </c>
      <c r="M187" s="3" t="n">
        <f aca="false">H187/G187*100</f>
        <v>8.14861933421409</v>
      </c>
      <c r="N187" s="3" t="n">
        <f aca="false">I187/H187*100</f>
        <v>8.3466773418735</v>
      </c>
      <c r="O187" s="3" t="n">
        <f aca="false">(K187-J187)/J187*100</f>
        <v>222.957075707163</v>
      </c>
      <c r="P187" s="3" t="n">
        <f aca="false">J187/L187</f>
        <v>38.5441518650089</v>
      </c>
      <c r="Q187" s="3" t="n">
        <f aca="false">J187/I187</f>
        <v>69.3856354916067</v>
      </c>
    </row>
    <row r="188" customFormat="false" ht="15" hidden="false" customHeight="false" outlineLevel="0" collapsed="false">
      <c r="A188" s="2" t="s">
        <v>460</v>
      </c>
      <c r="B188" s="2" t="s">
        <v>24</v>
      </c>
      <c r="C188" s="2" t="s">
        <v>25</v>
      </c>
      <c r="D188" s="2" t="s">
        <v>133</v>
      </c>
      <c r="E188" s="2" t="s">
        <v>62</v>
      </c>
      <c r="F188" s="2" t="s">
        <v>22</v>
      </c>
      <c r="G188" s="2" t="n">
        <v>94364</v>
      </c>
      <c r="H188" s="2" t="n">
        <v>8610</v>
      </c>
      <c r="I188" s="2" t="n">
        <v>1335</v>
      </c>
      <c r="J188" s="2" t="n">
        <v>104409.96</v>
      </c>
      <c r="K188" s="2" t="n">
        <v>354808.99</v>
      </c>
      <c r="L188" s="2" t="n">
        <v>2107</v>
      </c>
      <c r="M188" s="2" t="n">
        <f aca="false">H188/G188*100</f>
        <v>9.12424229579077</v>
      </c>
      <c r="N188" s="2" t="n">
        <f aca="false">I188/H188*100</f>
        <v>15.5052264808362</v>
      </c>
      <c r="O188" s="2" t="n">
        <f aca="false">(K188-J188)/J188*100</f>
        <v>239.822934516975</v>
      </c>
      <c r="P188" s="2" t="n">
        <f aca="false">J188/L188</f>
        <v>49.5538490745135</v>
      </c>
      <c r="Q188" s="2" t="n">
        <f aca="false">J188/I188</f>
        <v>78.2097078651685</v>
      </c>
    </row>
    <row r="189" customFormat="false" ht="15" hidden="false" customHeight="false" outlineLevel="0" collapsed="false">
      <c r="A189" s="3" t="s">
        <v>461</v>
      </c>
      <c r="B189" s="3" t="s">
        <v>117</v>
      </c>
      <c r="C189" s="3" t="s">
        <v>31</v>
      </c>
      <c r="D189" s="3" t="s">
        <v>462</v>
      </c>
      <c r="E189" s="3" t="s">
        <v>421</v>
      </c>
      <c r="F189" s="3" t="s">
        <v>34</v>
      </c>
      <c r="G189" s="3" t="n">
        <v>67547</v>
      </c>
      <c r="H189" s="3" t="n">
        <v>7395</v>
      </c>
      <c r="I189" s="3" t="n">
        <v>1038</v>
      </c>
      <c r="J189" s="3" t="n">
        <v>58361.15</v>
      </c>
      <c r="K189" s="3" t="n">
        <v>99375.36</v>
      </c>
      <c r="L189" s="3" t="n">
        <v>1598</v>
      </c>
      <c r="M189" s="3" t="n">
        <f aca="false">H189/G189*100</f>
        <v>10.9479325506684</v>
      </c>
      <c r="N189" s="3" t="n">
        <f aca="false">I189/H189*100</f>
        <v>14.0365111561866</v>
      </c>
      <c r="O189" s="3" t="n">
        <f aca="false">(K189-J189)/J189*100</f>
        <v>70.276562404956</v>
      </c>
      <c r="P189" s="3" t="n">
        <f aca="false">J189/L189</f>
        <v>36.5213704630789</v>
      </c>
      <c r="Q189" s="3" t="n">
        <f aca="false">J189/I189</f>
        <v>56.2246146435453</v>
      </c>
    </row>
    <row r="190" customFormat="false" ht="15" hidden="false" customHeight="false" outlineLevel="0" collapsed="false">
      <c r="A190" s="2" t="s">
        <v>463</v>
      </c>
      <c r="B190" s="2" t="s">
        <v>98</v>
      </c>
      <c r="C190" s="2" t="s">
        <v>61</v>
      </c>
      <c r="D190" s="2" t="s">
        <v>314</v>
      </c>
      <c r="E190" s="2" t="s">
        <v>464</v>
      </c>
      <c r="F190" s="2" t="s">
        <v>22</v>
      </c>
      <c r="G190" s="2" t="n">
        <v>154323</v>
      </c>
      <c r="H190" s="2" t="n">
        <v>4394</v>
      </c>
      <c r="I190" s="2" t="n">
        <v>880</v>
      </c>
      <c r="J190" s="2" t="n">
        <v>69583.88</v>
      </c>
      <c r="K190" s="2" t="n">
        <v>166534.24</v>
      </c>
      <c r="L190" s="2" t="n">
        <v>1218</v>
      </c>
      <c r="M190" s="2" t="n">
        <f aca="false">H190/G190*100</f>
        <v>2.84727487153568</v>
      </c>
      <c r="N190" s="2" t="n">
        <f aca="false">I190/H190*100</f>
        <v>20.0273099681384</v>
      </c>
      <c r="O190" s="2" t="n">
        <f aca="false">(K190-J190)/J190*100</f>
        <v>139.328764075818</v>
      </c>
      <c r="P190" s="2" t="n">
        <f aca="false">J190/L190</f>
        <v>57.1296223316913</v>
      </c>
      <c r="Q190" s="2" t="n">
        <f aca="false">J190/I190</f>
        <v>79.0725909090909</v>
      </c>
    </row>
    <row r="191" customFormat="false" ht="15" hidden="false" customHeight="false" outlineLevel="0" collapsed="false">
      <c r="A191" s="3" t="s">
        <v>465</v>
      </c>
      <c r="B191" s="3" t="s">
        <v>114</v>
      </c>
      <c r="C191" s="3" t="s">
        <v>61</v>
      </c>
      <c r="D191" s="3" t="s">
        <v>466</v>
      </c>
      <c r="E191" s="3" t="s">
        <v>310</v>
      </c>
      <c r="F191" s="3" t="s">
        <v>34</v>
      </c>
      <c r="G191" s="3" t="n">
        <v>128266</v>
      </c>
      <c r="H191" s="3" t="n">
        <v>8562</v>
      </c>
      <c r="I191" s="3" t="n">
        <v>1128</v>
      </c>
      <c r="J191" s="3" t="n">
        <v>163833.33</v>
      </c>
      <c r="K191" s="3" t="n">
        <v>316058.57</v>
      </c>
      <c r="L191" s="3" t="n">
        <v>1698</v>
      </c>
      <c r="M191" s="3" t="n">
        <f aca="false">H191/G191*100</f>
        <v>6.67519061949387</v>
      </c>
      <c r="N191" s="3" t="n">
        <f aca="false">I191/H191*100</f>
        <v>13.1744919411353</v>
      </c>
      <c r="O191" s="3" t="n">
        <f aca="false">(K191-J191)/J191*100</f>
        <v>92.9146956849379</v>
      </c>
      <c r="P191" s="3" t="n">
        <f aca="false">J191/L191</f>
        <v>96.4860600706714</v>
      </c>
      <c r="Q191" s="3" t="n">
        <f aca="false">J191/I191</f>
        <v>145.242313829787</v>
      </c>
    </row>
    <row r="192" customFormat="false" ht="15" hidden="false" customHeight="false" outlineLevel="0" collapsed="false">
      <c r="A192" s="2" t="s">
        <v>467</v>
      </c>
      <c r="B192" s="2" t="s">
        <v>60</v>
      </c>
      <c r="C192" s="2" t="s">
        <v>61</v>
      </c>
      <c r="D192" s="2" t="s">
        <v>77</v>
      </c>
      <c r="E192" s="2" t="s">
        <v>109</v>
      </c>
      <c r="F192" s="2" t="s">
        <v>28</v>
      </c>
      <c r="G192" s="2" t="n">
        <v>104134</v>
      </c>
      <c r="H192" s="2" t="n">
        <v>11470</v>
      </c>
      <c r="I192" s="2" t="n">
        <v>1249</v>
      </c>
      <c r="J192" s="2" t="n">
        <v>107826.51</v>
      </c>
      <c r="K192" s="2" t="n">
        <v>264962.01</v>
      </c>
      <c r="L192" s="2" t="n">
        <v>1576</v>
      </c>
      <c r="M192" s="2" t="n">
        <f aca="false">H192/G192*100</f>
        <v>11.0146541955557</v>
      </c>
      <c r="N192" s="2" t="n">
        <f aca="false">I192/H192*100</f>
        <v>10.8892763731473</v>
      </c>
      <c r="O192" s="2" t="n">
        <f aca="false">(K192-J192)/J192*100</f>
        <v>145.729932277322</v>
      </c>
      <c r="P192" s="2" t="n">
        <f aca="false">J192/L192</f>
        <v>68.4178362944163</v>
      </c>
      <c r="Q192" s="2" t="n">
        <f aca="false">J192/I192</f>
        <v>86.3302722177742</v>
      </c>
    </row>
    <row r="193" customFormat="false" ht="15" hidden="false" customHeight="false" outlineLevel="0" collapsed="false">
      <c r="A193" s="3" t="s">
        <v>468</v>
      </c>
      <c r="B193" s="3" t="s">
        <v>44</v>
      </c>
      <c r="C193" s="3" t="s">
        <v>31</v>
      </c>
      <c r="D193" s="3" t="s">
        <v>213</v>
      </c>
      <c r="E193" s="3" t="s">
        <v>434</v>
      </c>
      <c r="F193" s="3" t="s">
        <v>34</v>
      </c>
      <c r="G193" s="3" t="n">
        <v>104433</v>
      </c>
      <c r="H193" s="3" t="n">
        <v>2488</v>
      </c>
      <c r="I193" s="3" t="n">
        <v>224</v>
      </c>
      <c r="J193" s="3" t="n">
        <v>51379.57</v>
      </c>
      <c r="K193" s="3" t="n">
        <v>100562.92</v>
      </c>
      <c r="L193" s="3" t="n">
        <v>323</v>
      </c>
      <c r="M193" s="3" t="n">
        <f aca="false">H193/G193*100</f>
        <v>2.38238870854998</v>
      </c>
      <c r="N193" s="3" t="n">
        <f aca="false">I193/H193*100</f>
        <v>9.0032154340836</v>
      </c>
      <c r="O193" s="3" t="n">
        <f aca="false">(K193-J193)/J193*100</f>
        <v>95.7254994543551</v>
      </c>
      <c r="P193" s="3" t="n">
        <f aca="false">J193/L193</f>
        <v>159.069876160991</v>
      </c>
      <c r="Q193" s="3" t="n">
        <f aca="false">J193/I193</f>
        <v>229.373080357143</v>
      </c>
    </row>
    <row r="194" customFormat="false" ht="15" hidden="false" customHeight="false" outlineLevel="0" collapsed="false">
      <c r="A194" s="2" t="s">
        <v>469</v>
      </c>
      <c r="B194" s="2" t="s">
        <v>89</v>
      </c>
      <c r="C194" s="2" t="s">
        <v>19</v>
      </c>
      <c r="D194" s="2" t="s">
        <v>366</v>
      </c>
      <c r="E194" s="2" t="s">
        <v>415</v>
      </c>
      <c r="F194" s="2" t="s">
        <v>28</v>
      </c>
      <c r="G194" s="2" t="n">
        <v>12237</v>
      </c>
      <c r="H194" s="2" t="n">
        <v>1187</v>
      </c>
      <c r="I194" s="2" t="n">
        <v>126</v>
      </c>
      <c r="J194" s="2" t="n">
        <v>79126.99</v>
      </c>
      <c r="K194" s="2" t="n">
        <v>276369.8</v>
      </c>
      <c r="L194" s="2" t="n">
        <v>246</v>
      </c>
      <c r="M194" s="2" t="n">
        <f aca="false">H194/G194*100</f>
        <v>9.70008989131323</v>
      </c>
      <c r="N194" s="2" t="n">
        <f aca="false">I194/H194*100</f>
        <v>10.6149957877001</v>
      </c>
      <c r="O194" s="2" t="n">
        <f aca="false">(K194-J194)/J194*100</f>
        <v>249.273743383895</v>
      </c>
      <c r="P194" s="2" t="n">
        <f aca="false">J194/L194</f>
        <v>321.654430894309</v>
      </c>
      <c r="Q194" s="2" t="n">
        <f aca="false">J194/I194</f>
        <v>627.991984126984</v>
      </c>
    </row>
    <row r="195" customFormat="false" ht="15" hidden="false" customHeight="false" outlineLevel="0" collapsed="false">
      <c r="A195" s="3" t="s">
        <v>470</v>
      </c>
      <c r="B195" s="3" t="s">
        <v>24</v>
      </c>
      <c r="C195" s="3" t="s">
        <v>25</v>
      </c>
      <c r="D195" s="3" t="s">
        <v>471</v>
      </c>
      <c r="E195" s="3" t="s">
        <v>173</v>
      </c>
      <c r="F195" s="3" t="s">
        <v>42</v>
      </c>
      <c r="G195" s="3" t="n">
        <v>114203</v>
      </c>
      <c r="H195" s="3" t="n">
        <v>4883</v>
      </c>
      <c r="I195" s="3" t="n">
        <v>950</v>
      </c>
      <c r="J195" s="3" t="n">
        <v>53826.88</v>
      </c>
      <c r="K195" s="3" t="n">
        <v>93527.61</v>
      </c>
      <c r="L195" s="3" t="n">
        <v>1586</v>
      </c>
      <c r="M195" s="3" t="n">
        <f aca="false">H195/G195*100</f>
        <v>4.27571955202578</v>
      </c>
      <c r="N195" s="3" t="n">
        <f aca="false">I195/H195*100</f>
        <v>19.4552529182879</v>
      </c>
      <c r="O195" s="3" t="n">
        <f aca="false">(K195-J195)/J195*100</f>
        <v>73.7563276935241</v>
      </c>
      <c r="P195" s="3" t="n">
        <f aca="false">J195/L195</f>
        <v>33.938764186633</v>
      </c>
      <c r="Q195" s="3" t="n">
        <f aca="false">J195/I195</f>
        <v>56.6598736842105</v>
      </c>
    </row>
    <row r="196" customFormat="false" ht="15" hidden="false" customHeight="false" outlineLevel="0" collapsed="false">
      <c r="A196" s="2" t="s">
        <v>472</v>
      </c>
      <c r="B196" s="2" t="s">
        <v>60</v>
      </c>
      <c r="C196" s="2" t="s">
        <v>61</v>
      </c>
      <c r="D196" s="2" t="s">
        <v>473</v>
      </c>
      <c r="E196" s="2" t="s">
        <v>216</v>
      </c>
      <c r="F196" s="2" t="s">
        <v>64</v>
      </c>
      <c r="G196" s="2" t="n">
        <v>92070</v>
      </c>
      <c r="H196" s="2" t="n">
        <v>9628</v>
      </c>
      <c r="I196" s="2" t="n">
        <v>1307</v>
      </c>
      <c r="J196" s="2" t="n">
        <v>189257.01</v>
      </c>
      <c r="K196" s="2" t="n">
        <v>408924.23</v>
      </c>
      <c r="L196" s="2" t="n">
        <v>2027</v>
      </c>
      <c r="M196" s="2" t="n">
        <f aca="false">H196/G196*100</f>
        <v>10.4572607798414</v>
      </c>
      <c r="N196" s="2" t="n">
        <f aca="false">I196/H196*100</f>
        <v>13.5749896136269</v>
      </c>
      <c r="O196" s="2" t="n">
        <f aca="false">(K196-J196)/J196*100</f>
        <v>116.068207988703</v>
      </c>
      <c r="P196" s="2" t="n">
        <f aca="false">J196/L196</f>
        <v>93.3680365071534</v>
      </c>
      <c r="Q196" s="2" t="n">
        <f aca="false">J196/I196</f>
        <v>144.802609028309</v>
      </c>
    </row>
    <row r="197" customFormat="false" ht="15" hidden="false" customHeight="false" outlineLevel="0" collapsed="false">
      <c r="A197" s="3" t="s">
        <v>474</v>
      </c>
      <c r="B197" s="3" t="s">
        <v>36</v>
      </c>
      <c r="C197" s="3" t="s">
        <v>19</v>
      </c>
      <c r="D197" s="3" t="s">
        <v>266</v>
      </c>
      <c r="E197" s="3" t="s">
        <v>337</v>
      </c>
      <c r="F197" s="3" t="s">
        <v>42</v>
      </c>
      <c r="G197" s="3" t="n">
        <v>90103</v>
      </c>
      <c r="H197" s="3" t="n">
        <v>10301</v>
      </c>
      <c r="I197" s="3" t="n">
        <v>534</v>
      </c>
      <c r="J197" s="3" t="n">
        <v>164924.26</v>
      </c>
      <c r="K197" s="3" t="n">
        <v>514380.2</v>
      </c>
      <c r="L197" s="3" t="n">
        <v>785</v>
      </c>
      <c r="M197" s="3" t="n">
        <f aca="false">H197/G197*100</f>
        <v>11.4324717268015</v>
      </c>
      <c r="N197" s="3" t="n">
        <f aca="false">I197/H197*100</f>
        <v>5.18396272206582</v>
      </c>
      <c r="O197" s="3" t="n">
        <f aca="false">(K197-J197)/J197*100</f>
        <v>211.888742141393</v>
      </c>
      <c r="P197" s="3" t="n">
        <f aca="false">J197/L197</f>
        <v>210.094598726115</v>
      </c>
      <c r="Q197" s="3" t="n">
        <f aca="false">J197/I197</f>
        <v>308.846928838951</v>
      </c>
    </row>
    <row r="198" customFormat="false" ht="15" hidden="false" customHeight="false" outlineLevel="0" collapsed="false">
      <c r="A198" s="2" t="s">
        <v>475</v>
      </c>
      <c r="B198" s="2" t="s">
        <v>98</v>
      </c>
      <c r="C198" s="2" t="s">
        <v>61</v>
      </c>
      <c r="D198" s="2" t="s">
        <v>382</v>
      </c>
      <c r="E198" s="2" t="s">
        <v>476</v>
      </c>
      <c r="F198" s="2" t="s">
        <v>22</v>
      </c>
      <c r="G198" s="2" t="n">
        <v>163866</v>
      </c>
      <c r="H198" s="2" t="n">
        <v>3658</v>
      </c>
      <c r="I198" s="2" t="n">
        <v>757</v>
      </c>
      <c r="J198" s="2" t="n">
        <v>185596.68</v>
      </c>
      <c r="K198" s="2" t="n">
        <v>288322.56</v>
      </c>
      <c r="L198" s="2" t="n">
        <v>1485</v>
      </c>
      <c r="M198" s="2" t="n">
        <f aca="false">H198/G198*100</f>
        <v>2.23231176693152</v>
      </c>
      <c r="N198" s="2" t="n">
        <f aca="false">I198/H198*100</f>
        <v>20.6943685073811</v>
      </c>
      <c r="O198" s="2" t="n">
        <f aca="false">(K198-J198)/J198*100</f>
        <v>55.3489857684954</v>
      </c>
      <c r="P198" s="2" t="n">
        <f aca="false">J198/L198</f>
        <v>124.980929292929</v>
      </c>
      <c r="Q198" s="2" t="n">
        <f aca="false">J198/I198</f>
        <v>245.173949801849</v>
      </c>
    </row>
    <row r="199" customFormat="false" ht="15" hidden="false" customHeight="false" outlineLevel="0" collapsed="false">
      <c r="A199" s="3" t="s">
        <v>477</v>
      </c>
      <c r="B199" s="3" t="s">
        <v>82</v>
      </c>
      <c r="C199" s="3" t="s">
        <v>25</v>
      </c>
      <c r="D199" s="3" t="s">
        <v>399</v>
      </c>
      <c r="E199" s="3" t="s">
        <v>103</v>
      </c>
      <c r="F199" s="3" t="s">
        <v>64</v>
      </c>
      <c r="G199" s="3" t="n">
        <v>63531</v>
      </c>
      <c r="H199" s="3" t="n">
        <v>7297</v>
      </c>
      <c r="I199" s="3" t="n">
        <v>457</v>
      </c>
      <c r="J199" s="3" t="n">
        <v>86490.26</v>
      </c>
      <c r="K199" s="3" t="n">
        <v>198234.69</v>
      </c>
      <c r="L199" s="3" t="n">
        <v>668</v>
      </c>
      <c r="M199" s="3" t="n">
        <f aca="false">H199/G199*100</f>
        <v>11.4857313752341</v>
      </c>
      <c r="N199" s="3" t="n">
        <f aca="false">I199/H199*100</f>
        <v>6.2628477456489</v>
      </c>
      <c r="O199" s="3" t="n">
        <f aca="false">(K199-J199)/J199*100</f>
        <v>129.198860079736</v>
      </c>
      <c r="P199" s="3" t="n">
        <f aca="false">J199/L199</f>
        <v>129.476437125749</v>
      </c>
      <c r="Q199" s="3" t="n">
        <f aca="false">J199/I199</f>
        <v>189.25658643326</v>
      </c>
    </row>
    <row r="200" customFormat="false" ht="15" hidden="false" customHeight="false" outlineLevel="0" collapsed="false">
      <c r="A200" s="2" t="s">
        <v>478</v>
      </c>
      <c r="B200" s="2" t="s">
        <v>117</v>
      </c>
      <c r="C200" s="2" t="s">
        <v>31</v>
      </c>
      <c r="D200" s="2" t="s">
        <v>154</v>
      </c>
      <c r="E200" s="2" t="s">
        <v>376</v>
      </c>
      <c r="F200" s="2" t="s">
        <v>42</v>
      </c>
      <c r="G200" s="2" t="n">
        <v>37345</v>
      </c>
      <c r="H200" s="2" t="n">
        <v>3267</v>
      </c>
      <c r="I200" s="2" t="n">
        <v>279</v>
      </c>
      <c r="J200" s="2" t="n">
        <v>167897.84</v>
      </c>
      <c r="K200" s="2" t="n">
        <v>434475.45</v>
      </c>
      <c r="L200" s="2" t="n">
        <v>340</v>
      </c>
      <c r="M200" s="2" t="n">
        <f aca="false">H200/G200*100</f>
        <v>8.74815905743741</v>
      </c>
      <c r="N200" s="2" t="n">
        <f aca="false">I200/H200*100</f>
        <v>8.53994490358127</v>
      </c>
      <c r="O200" s="2" t="n">
        <f aca="false">(K200-J200)/J200*100</f>
        <v>158.773698339419</v>
      </c>
      <c r="P200" s="2" t="n">
        <f aca="false">J200/L200</f>
        <v>493.817176470588</v>
      </c>
      <c r="Q200" s="2" t="n">
        <f aca="false">J200/I200</f>
        <v>601.784372759857</v>
      </c>
    </row>
    <row r="201" customFormat="false" ht="15" hidden="false" customHeight="false" outlineLevel="0" collapsed="false">
      <c r="A201" s="3" t="s">
        <v>479</v>
      </c>
      <c r="B201" s="3" t="s">
        <v>66</v>
      </c>
      <c r="C201" s="3" t="s">
        <v>61</v>
      </c>
      <c r="D201" s="3" t="s">
        <v>131</v>
      </c>
      <c r="E201" s="3" t="s">
        <v>287</v>
      </c>
      <c r="F201" s="3" t="s">
        <v>42</v>
      </c>
      <c r="G201" s="3" t="n">
        <v>71089</v>
      </c>
      <c r="H201" s="3" t="n">
        <v>3491</v>
      </c>
      <c r="I201" s="3" t="n">
        <v>540</v>
      </c>
      <c r="J201" s="3" t="n">
        <v>99112.78</v>
      </c>
      <c r="K201" s="3" t="n">
        <v>202973.08</v>
      </c>
      <c r="L201" s="3" t="n">
        <v>652</v>
      </c>
      <c r="M201" s="3" t="n">
        <f aca="false">H201/G201*100</f>
        <v>4.91074568498643</v>
      </c>
      <c r="N201" s="3" t="n">
        <f aca="false">I201/H201*100</f>
        <v>15.4683471784589</v>
      </c>
      <c r="O201" s="3" t="n">
        <f aca="false">(K201-J201)/J201*100</f>
        <v>104.790017997679</v>
      </c>
      <c r="P201" s="3" t="n">
        <f aca="false">J201/L201</f>
        <v>152.013466257669</v>
      </c>
      <c r="Q201" s="3" t="n">
        <f aca="false">J201/I201</f>
        <v>183.542185185185</v>
      </c>
    </row>
  </sheetData>
  <autoFilter ref="A1:Q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20"/>
    <col collapsed="false" customWidth="true" hidden="false" outlineLevel="0" max="7" min="5" style="0" width="28"/>
  </cols>
  <sheetData>
    <row r="1" customFormat="false" ht="17.35" hidden="false" customHeight="false" outlineLevel="0" collapsed="false">
      <c r="A1" s="4" t="s">
        <v>480</v>
      </c>
    </row>
    <row r="3" customFormat="false" ht="15" hidden="false" customHeight="false" outlineLevel="0" collapsed="false">
      <c r="A3" s="5" t="s">
        <v>481</v>
      </c>
    </row>
    <row r="4" customFormat="false" ht="15" hidden="false" customHeight="false" outlineLevel="0" collapsed="false">
      <c r="A4" s="1" t="s">
        <v>482</v>
      </c>
      <c r="B4" s="1" t="s">
        <v>483</v>
      </c>
    </row>
    <row r="5" customFormat="false" ht="15" hidden="false" customHeight="false" outlineLevel="0" collapsed="false">
      <c r="A5" s="6" t="s">
        <v>484</v>
      </c>
      <c r="B5" s="6" t="n">
        <f aca="false">COUNTA('Campaign Data'!A2:A201)</f>
        <v>200</v>
      </c>
    </row>
    <row r="6" customFormat="false" ht="15" hidden="false" customHeight="false" outlineLevel="0" collapsed="false">
      <c r="A6" s="6" t="s">
        <v>485</v>
      </c>
      <c r="B6" s="6" t="n">
        <f aca="false">SUM('Campaign Data'!J2:J201)</f>
        <v>22017871.21</v>
      </c>
    </row>
    <row r="7" customFormat="false" ht="15" hidden="false" customHeight="false" outlineLevel="0" collapsed="false">
      <c r="A7" s="6" t="s">
        <v>486</v>
      </c>
      <c r="B7" s="6" t="n">
        <f aca="false">SUM('Campaign Data'!K2:K201)</f>
        <v>51672975.67</v>
      </c>
    </row>
    <row r="8" customFormat="false" ht="15" hidden="false" customHeight="false" outlineLevel="0" collapsed="false">
      <c r="A8" s="6" t="s">
        <v>487</v>
      </c>
      <c r="B8" s="6" t="n">
        <f aca="false">(SUM('Campaign Data'!K2:K201)-SUM('Campaign Data'!J2:J201))/SUM('Campaign Data'!J2:J201)*100</f>
        <v>134.686519769138</v>
      </c>
    </row>
    <row r="9" customFormat="false" ht="15" hidden="false" customHeight="false" outlineLevel="0" collapsed="false">
      <c r="A9" s="6" t="s">
        <v>488</v>
      </c>
      <c r="B9" s="6" t="n">
        <f aca="false">SUM('Campaign Data'!G2:G201)</f>
        <v>20452102</v>
      </c>
    </row>
    <row r="10" customFormat="false" ht="15" hidden="false" customHeight="false" outlineLevel="0" collapsed="false">
      <c r="A10" s="6" t="s">
        <v>489</v>
      </c>
      <c r="B10" s="6" t="n">
        <f aca="false">SUM('Campaign Data'!H2:H201)</f>
        <v>1477430</v>
      </c>
    </row>
    <row r="11" customFormat="false" ht="15" hidden="false" customHeight="false" outlineLevel="0" collapsed="false">
      <c r="A11" s="6" t="s">
        <v>490</v>
      </c>
      <c r="B11" s="6" t="n">
        <f aca="false">SUM('Campaign Data'!I2:I201)</f>
        <v>219098</v>
      </c>
    </row>
    <row r="12" customFormat="false" ht="15" hidden="false" customHeight="false" outlineLevel="0" collapsed="false">
      <c r="A12" s="6" t="s">
        <v>491</v>
      </c>
      <c r="B12" s="6" t="n">
        <f aca="false">SUM('Campaign Data'!L2:L201)</f>
        <v>350312</v>
      </c>
    </row>
    <row r="13" customFormat="false" ht="15" hidden="false" customHeight="false" outlineLevel="0" collapsed="false">
      <c r="A13" s="6" t="s">
        <v>492</v>
      </c>
      <c r="B13" s="6" t="n">
        <f aca="false">AVERAGE('Campaign Data'!M2:M201)</f>
        <v>7.10958200384481</v>
      </c>
    </row>
    <row r="14" customFormat="false" ht="15" hidden="false" customHeight="false" outlineLevel="0" collapsed="false">
      <c r="A14" s="6" t="s">
        <v>493</v>
      </c>
      <c r="B14" s="6" t="n">
        <f aca="false">AVERAGE('Campaign Data'!N2:N201)</f>
        <v>14.693190301</v>
      </c>
    </row>
    <row r="15" customFormat="false" ht="15" hidden="false" customHeight="false" outlineLevel="0" collapsed="false">
      <c r="A15" s="6" t="s">
        <v>494</v>
      </c>
      <c r="B15" s="6" t="n">
        <f aca="false">AVERAGE('Campaign Data'!P2:P201)</f>
        <v>171.645910160016</v>
      </c>
    </row>
    <row r="16" customFormat="false" ht="15" hidden="false" customHeight="false" outlineLevel="0" collapsed="false">
      <c r="A16" s="6" t="s">
        <v>495</v>
      </c>
      <c r="B16" s="6" t="n">
        <f aca="false">SUM('Campaign Data'!J2:J201)/SUM('Campaign Data'!I2:I201)</f>
        <v>100.493255118714</v>
      </c>
    </row>
    <row r="18" customFormat="false" ht="15" hidden="false" customHeight="false" outlineLevel="0" collapsed="false">
      <c r="A18" s="5" t="s">
        <v>496</v>
      </c>
    </row>
    <row r="19" customFormat="false" ht="15" hidden="false" customHeight="false" outlineLevel="0" collapsed="false">
      <c r="A19" s="1" t="s">
        <v>2</v>
      </c>
      <c r="B19" s="1" t="s">
        <v>485</v>
      </c>
      <c r="C19" s="1" t="s">
        <v>486</v>
      </c>
      <c r="D19" s="1" t="s">
        <v>497</v>
      </c>
      <c r="E19" s="1" t="s">
        <v>498</v>
      </c>
      <c r="F19" s="1" t="s">
        <v>499</v>
      </c>
      <c r="G19" s="1" t="s">
        <v>500</v>
      </c>
    </row>
    <row r="20" customFormat="false" ht="15" hidden="false" customHeight="false" outlineLevel="0" collapsed="false">
      <c r="A20" s="6" t="s">
        <v>31</v>
      </c>
      <c r="B20" s="6" t="n">
        <f aca="false">SUMIF('Campaign Data'!C2:C201,"Google Ads",'Campaign Data'!J2:J201)</f>
        <v>6299591.45</v>
      </c>
      <c r="C20" s="6" t="n">
        <f aca="false">SUMIF('Campaign Data'!C2:C201,"Google Ads",'Campaign Data'!K2:K201)</f>
        <v>14788128.51</v>
      </c>
      <c r="D20" s="6" t="n">
        <f aca="false">(C20-B20)/B20*100</f>
        <v>134.747421755422</v>
      </c>
      <c r="E20" s="6" t="n">
        <f aca="false">AVERAGEIF('Campaign Data'!C2:C201,"Google Ads",'Campaign Data'!M2:M201)</f>
        <v>6.46929849021025</v>
      </c>
      <c r="F20" s="6" t="n">
        <f aca="false">AVERAGEIF('Campaign Data'!C2:C201,"Google Ads",'Campaign Data'!N2:N201)</f>
        <v>14.717772035271</v>
      </c>
      <c r="G20" s="6" t="n">
        <f aca="false">SUMIF('Campaign Data'!C2:C201,"Google Ads",'Campaign Data'!L2:L201)</f>
        <v>95785</v>
      </c>
    </row>
    <row r="21" customFormat="false" ht="15" hidden="false" customHeight="false" outlineLevel="0" collapsed="false">
      <c r="A21" s="6" t="s">
        <v>19</v>
      </c>
      <c r="B21" s="6" t="n">
        <f aca="false">SUMIF('Campaign Data'!C2:C201,"Facebook",'Campaign Data'!J2:J201)</f>
        <v>4917448.75</v>
      </c>
      <c r="C21" s="6" t="n">
        <f aca="false">SUMIF('Campaign Data'!C2:C201,"Facebook",'Campaign Data'!K2:K201)</f>
        <v>10880282.64</v>
      </c>
      <c r="D21" s="6" t="n">
        <f aca="false">(C21-B21)/B21*100</f>
        <v>121.258689071238</v>
      </c>
      <c r="E21" s="6" t="n">
        <f aca="false">AVERAGEIF('Campaign Data'!C2:C201,"Facebook",'Campaign Data'!M2:M201)</f>
        <v>7.49099216913186</v>
      </c>
      <c r="F21" s="6" t="n">
        <f aca="false">AVERAGEIF('Campaign Data'!C2:C201,"Facebook",'Campaign Data'!N2:N201)</f>
        <v>15.1188090685587</v>
      </c>
      <c r="G21" s="6" t="n">
        <f aca="false">SUMIF('Campaign Data'!C2:C201,"Facebook",'Campaign Data'!L2:L201)</f>
        <v>76403</v>
      </c>
    </row>
    <row r="22" customFormat="false" ht="15" hidden="false" customHeight="false" outlineLevel="0" collapsed="false">
      <c r="A22" s="6" t="s">
        <v>61</v>
      </c>
      <c r="B22" s="6" t="n">
        <f aca="false">SUMIF('Campaign Data'!C2:C201,"Email",'Campaign Data'!J2:J201)</f>
        <v>4820201.84</v>
      </c>
      <c r="C22" s="6" t="n">
        <f aca="false">SUMIF('Campaign Data'!C2:C201,"Email",'Campaign Data'!K2:K201)</f>
        <v>11719029.29</v>
      </c>
      <c r="D22" s="6" t="n">
        <f aca="false">(C22-B22)/B22*100</f>
        <v>143.123206848948</v>
      </c>
      <c r="E22" s="6" t="n">
        <f aca="false">AVERAGEIF('Campaign Data'!C2:C201,"Email",'Campaign Data'!M2:M201)</f>
        <v>7.32144061643735</v>
      </c>
      <c r="F22" s="6" t="n">
        <f aca="false">AVERAGEIF('Campaign Data'!C2:C201,"Email",'Campaign Data'!N2:N201)</f>
        <v>14.9889019370648</v>
      </c>
      <c r="G22" s="6" t="n">
        <f aca="false">SUMIF('Campaign Data'!C2:C201,"Email",'Campaign Data'!L2:L201)</f>
        <v>82834</v>
      </c>
    </row>
    <row r="23" customFormat="false" ht="15" hidden="false" customHeight="false" outlineLevel="0" collapsed="false">
      <c r="A23" s="6" t="s">
        <v>25</v>
      </c>
      <c r="B23" s="6" t="n">
        <f aca="false">SUMIF('Campaign Data'!C2:C201,"Influencer",'Campaign Data'!J2:J201)</f>
        <v>5980629.17</v>
      </c>
      <c r="C23" s="6" t="n">
        <f aca="false">SUMIF('Campaign Data'!C2:C201,"Influencer",'Campaign Data'!K2:K201)</f>
        <v>14285535.23</v>
      </c>
      <c r="D23" s="6" t="n">
        <f aca="false">(C23-B23)/B23*100</f>
        <v>138.863417609288</v>
      </c>
      <c r="E23" s="6" t="n">
        <f aca="false">AVERAGEIF('Campaign Data'!C2:C201,"Influencer",'Campaign Data'!M2:M201)</f>
        <v>7.30528646667011</v>
      </c>
      <c r="F23" s="6" t="n">
        <f aca="false">AVERAGEIF('Campaign Data'!C2:C201,"Influencer",'Campaign Data'!N2:N201)</f>
        <v>14.1267261066532</v>
      </c>
      <c r="G23" s="6" t="n">
        <f aca="false">SUMIF('Campaign Data'!C2:C201,"Influencer",'Campaign Data'!L2:L201)</f>
        <v>95290</v>
      </c>
    </row>
    <row r="25" customFormat="false" ht="15" hidden="false" customHeight="false" outlineLevel="0" collapsed="false">
      <c r="A25" s="5" t="s">
        <v>501</v>
      </c>
    </row>
    <row r="26" customFormat="false" ht="15" hidden="false" customHeight="false" outlineLevel="0" collapsed="false">
      <c r="A26" s="1" t="s">
        <v>5</v>
      </c>
      <c r="B26" s="1" t="s">
        <v>485</v>
      </c>
      <c r="C26" s="1" t="s">
        <v>486</v>
      </c>
      <c r="D26" s="1" t="s">
        <v>497</v>
      </c>
      <c r="E26" s="1" t="s">
        <v>502</v>
      </c>
    </row>
    <row r="27" customFormat="false" ht="15" hidden="false" customHeight="false" outlineLevel="0" collapsed="false">
      <c r="A27" s="6" t="s">
        <v>28</v>
      </c>
      <c r="B27" s="6" t="n">
        <f aca="false">SUMIF('Campaign Data'!F2:F201,"North",'Campaign Data'!J2:J201)</f>
        <v>4847931.01</v>
      </c>
      <c r="C27" s="6" t="n">
        <f aca="false">SUMIF('Campaign Data'!F2:F201,"North",'Campaign Data'!K2:K201)</f>
        <v>11605809.3</v>
      </c>
      <c r="D27" s="6" t="n">
        <f aca="false">(C27-B27)/B27*100</f>
        <v>139.397162955914</v>
      </c>
      <c r="E27" s="6" t="n">
        <f aca="false">COUNTIF('Campaign Data'!F2:F201,"North")</f>
        <v>50</v>
      </c>
    </row>
    <row r="28" customFormat="false" ht="15" hidden="false" customHeight="false" outlineLevel="0" collapsed="false">
      <c r="A28" s="6" t="s">
        <v>34</v>
      </c>
      <c r="B28" s="6" t="n">
        <f aca="false">SUMIF('Campaign Data'!F2:F201,"South",'Campaign Data'!J2:J201)</f>
        <v>4622192.37</v>
      </c>
      <c r="C28" s="6" t="n">
        <f aca="false">SUMIF('Campaign Data'!F2:F201,"South",'Campaign Data'!K2:K201)</f>
        <v>11424590.18</v>
      </c>
      <c r="D28" s="6" t="n">
        <f aca="false">(C28-B28)/B28*100</f>
        <v>147.168210785654</v>
      </c>
      <c r="E28" s="6" t="n">
        <f aca="false">COUNTIF('Campaign Data'!F2:F201,"South")</f>
        <v>43</v>
      </c>
    </row>
    <row r="29" customFormat="false" ht="15" hidden="false" customHeight="false" outlineLevel="0" collapsed="false">
      <c r="A29" s="6" t="s">
        <v>64</v>
      </c>
      <c r="B29" s="6" t="n">
        <f aca="false">SUMIF('Campaign Data'!F2:F201,"East",'Campaign Data'!J2:J201)</f>
        <v>3160146.78</v>
      </c>
      <c r="C29" s="6" t="n">
        <f aca="false">SUMIF('Campaign Data'!F2:F201,"East",'Campaign Data'!K2:K201)</f>
        <v>7050564.58</v>
      </c>
      <c r="D29" s="6" t="n">
        <f aca="false">(C29-B29)/B29*100</f>
        <v>123.108769017368</v>
      </c>
      <c r="E29" s="6" t="n">
        <f aca="false">COUNTIF('Campaign Data'!F2:F201,"East")</f>
        <v>29</v>
      </c>
    </row>
    <row r="30" customFormat="false" ht="15" hidden="false" customHeight="false" outlineLevel="0" collapsed="false">
      <c r="A30" s="6" t="s">
        <v>42</v>
      </c>
      <c r="B30" s="6" t="n">
        <f aca="false">SUMIF('Campaign Data'!F2:F201,"West",'Campaign Data'!J2:J201)</f>
        <v>4800521.97</v>
      </c>
      <c r="C30" s="6" t="n">
        <f aca="false">SUMIF('Campaign Data'!F2:F201,"West",'Campaign Data'!K2:K201)</f>
        <v>11378351.26</v>
      </c>
      <c r="D30" s="6" t="n">
        <f aca="false">(C30-B30)/B30*100</f>
        <v>137.023209790664</v>
      </c>
      <c r="E30" s="6" t="n">
        <f aca="false">COUNTIF('Campaign Data'!F2:F201,"West")</f>
        <v>40</v>
      </c>
    </row>
    <row r="31" customFormat="false" ht="15" hidden="false" customHeight="false" outlineLevel="0" collapsed="false">
      <c r="A31" s="6" t="s">
        <v>22</v>
      </c>
      <c r="B31" s="6" t="n">
        <f aca="false">SUMIF('Campaign Data'!F2:F201,"Central",'Campaign Data'!J2:J201)</f>
        <v>4587079.08</v>
      </c>
      <c r="C31" s="6" t="n">
        <f aca="false">SUMIF('Campaign Data'!F2:F201,"Central",'Campaign Data'!K2:K201)</f>
        <v>10213660.35</v>
      </c>
      <c r="D31" s="6" t="n">
        <f aca="false">(C31-B31)/B31*100</f>
        <v>122.661527561892</v>
      </c>
      <c r="E31" s="6" t="n">
        <f aca="false">COUNTIF('Campaign Data'!F2:F201,"Central")</f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2026-06-01T16:18:08Z</dcterms:created>
  <dc:creator>openpyxl</dc:creator>
  <dc:description/>
  <dc:language>en-US</dc:language>
  <cp:lastModifiedBy/>
  <dcterms:modified xsi:type="dcterms:W3CDTF">2026-06-01T16:18:09Z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